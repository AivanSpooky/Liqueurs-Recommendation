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ADA362-EEDE-4BF0-AFF3-E1E5D84B10F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Датасет" sheetId="1" r:id="rId1"/>
    <sheet name="Таксономия" sheetId="2" r:id="rId2"/>
    <sheet name="Словарь полей" sheetId="3" r:id="rId3"/>
    <sheet name="Покрытие" sheetId="4" r:id="rId4"/>
    <sheet name="Как пользоваться" sheetId="5" r:id="rId5"/>
  </sheets>
  <definedNames>
    <definedName name="_xlnm._FilterDatabase" localSheetId="0" hidden="1">Датасет!$A$4:$P$34</definedName>
    <definedName name="_xlnm._FilterDatabase" localSheetId="1" hidden="1">Таксономия!$A$4:$G$28</definedName>
    <definedName name="_xlnm.Print_Titles" localSheetId="0">Датасет!$4:$4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4" l="1"/>
  <c r="B40" i="4"/>
  <c r="B39" i="4"/>
  <c r="B38" i="4"/>
  <c r="B37" i="4"/>
  <c r="B33" i="4"/>
  <c r="B32" i="4"/>
  <c r="E30" i="4"/>
  <c r="B30" i="4"/>
  <c r="F28" i="4"/>
  <c r="E28" i="4"/>
  <c r="E27" i="4"/>
  <c r="F27" i="4" s="1"/>
  <c r="E26" i="4"/>
  <c r="F26" i="4" s="1"/>
  <c r="F25" i="4"/>
  <c r="E25" i="4"/>
  <c r="F24" i="4"/>
  <c r="E24" i="4"/>
  <c r="E23" i="4"/>
  <c r="F23" i="4" s="1"/>
  <c r="E22" i="4"/>
  <c r="F22" i="4" s="1"/>
  <c r="F21" i="4"/>
  <c r="E21" i="4"/>
  <c r="F20" i="4"/>
  <c r="E20" i="4"/>
  <c r="E19" i="4"/>
  <c r="F19" i="4" s="1"/>
  <c r="E18" i="4"/>
  <c r="F18" i="4" s="1"/>
  <c r="F17" i="4"/>
  <c r="E17" i="4"/>
  <c r="F16" i="4"/>
  <c r="E16" i="4"/>
  <c r="E15" i="4"/>
  <c r="F15" i="4" s="1"/>
  <c r="E14" i="4"/>
  <c r="F14" i="4" s="1"/>
  <c r="F13" i="4"/>
  <c r="E13" i="4"/>
  <c r="F12" i="4"/>
  <c r="E12" i="4"/>
  <c r="E11" i="4"/>
  <c r="F11" i="4" s="1"/>
  <c r="E10" i="4"/>
  <c r="F10" i="4" s="1"/>
  <c r="F9" i="4"/>
  <c r="E9" i="4"/>
  <c r="F8" i="4"/>
  <c r="E8" i="4"/>
  <c r="E7" i="4"/>
  <c r="F7" i="4" s="1"/>
  <c r="E6" i="4"/>
  <c r="F6" i="4" s="1"/>
  <c r="F5" i="4"/>
  <c r="B31" i="4" s="1"/>
  <c r="E5" i="4"/>
  <c r="B42" i="1"/>
  <c r="B41" i="1"/>
  <c r="B40" i="1"/>
  <c r="B39" i="1"/>
  <c r="B38" i="1"/>
  <c r="B37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43" i="1" s="1"/>
  <c r="H5" i="1"/>
</calcChain>
</file>

<file path=xl/sharedStrings.xml><?xml version="1.0" encoding="utf-8"?>
<sst xmlns="http://schemas.openxmlformats.org/spreadsheetml/2006/main" count="704" uniqueCount="369">
  <si>
    <t>Бинарные: bitter, wood_contact. Числовые: abv_pct, sugar_gpl, volume_l. Категориальные: country + таксономия вкуса L1–L3. abv_class считается формулой. Пороги крепости — на листе «Словарь полей».</t>
  </si>
  <si>
    <t>id</t>
  </si>
  <si>
    <t>name</t>
  </si>
  <si>
    <t>producer</t>
  </si>
  <si>
    <t>country</t>
  </si>
  <si>
    <t>bitter</t>
  </si>
  <si>
    <t>wood_contact</t>
  </si>
  <si>
    <t>abv_pct</t>
  </si>
  <si>
    <t>abv_class</t>
  </si>
  <si>
    <t>sugar_gpl</t>
  </si>
  <si>
    <t>volume_l</t>
  </si>
  <si>
    <t>l1</t>
  </si>
  <si>
    <t>l2</t>
  </si>
  <si>
    <t>l3</t>
  </si>
  <si>
    <t>id_path</t>
  </si>
  <si>
    <t>source_quality</t>
  </si>
  <si>
    <t>notes</t>
  </si>
  <si>
    <t>L01</t>
  </si>
  <si>
    <t>Bols Crème de Menthe Green</t>
  </si>
  <si>
    <t>Lucas Bols</t>
  </si>
  <si>
    <t>Нидерланды</t>
  </si>
  <si>
    <t>Травяные</t>
  </si>
  <si>
    <t>Однотравные</t>
  </si>
  <si>
    <t>Мятные</t>
  </si>
  <si>
    <t>H-S-M</t>
  </si>
  <si>
    <t>literature</t>
  </si>
  <si>
    <t>Эталон однотравной мяты. Сахар crème-уровня (≥250 г/л). Горечь ментола не считается «выраженной горечью» в смысле bitter=1.</t>
  </si>
  <si>
    <t>L02</t>
  </si>
  <si>
    <t>Génépi des Pères Chartreux</t>
  </si>
  <si>
    <t>Chartreuse Diffusion</t>
  </si>
  <si>
    <t>Франция</t>
  </si>
  <si>
    <t>Полынные</t>
  </si>
  <si>
    <t>H-S-W</t>
  </si>
  <si>
    <t>estimate</t>
  </si>
  <si>
    <t>Альпийская полынь Artemisia genipi. Ликёр, а не абсент: закрывает лист «полынные» без 60–70% absinthe. Сахар оценка по стилю.</t>
  </si>
  <si>
    <t>L03</t>
  </si>
  <si>
    <t>Jägermeister</t>
  </si>
  <si>
    <t>Mast-Jägermeister</t>
  </si>
  <si>
    <t>Германия</t>
  </si>
  <si>
    <t>Смесь трав</t>
  </si>
  <si>
    <t>Кройтер</t>
  </si>
  <si>
    <t>H-M-K</t>
  </si>
  <si>
    <t>spec</t>
  </si>
  <si>
    <t>Канонический kräuterlikör. 56 трав. Горечь есть, но мягче амаро. Бочковой выдержки нет.</t>
  </si>
  <si>
    <t>L04</t>
  </si>
  <si>
    <t>Chartreuse Verte</t>
  </si>
  <si>
    <t>Pères Chartreux</t>
  </si>
  <si>
    <t>Монастырский multi-herb на 130 растениях. Классифицирован как кройтер (альпийско-монастырский mix), не как амаро. Крепкий край шкалы.</t>
  </si>
  <si>
    <t>L05</t>
  </si>
  <si>
    <t>Amaro Averna</t>
  </si>
  <si>
    <t>Averna / Campari Group</t>
  </si>
  <si>
    <t>Италия</t>
  </si>
  <si>
    <t>Амаро</t>
  </si>
  <si>
    <t>H-M-A</t>
  </si>
  <si>
    <t>Сицилийский амаро. Часть тиража дозревает в дубе — wood_contact=1. Карамель, цедра, мягкая горечь.</t>
  </si>
  <si>
    <t>L06</t>
  </si>
  <si>
    <t>Fernet-Branca</t>
  </si>
  <si>
    <t>Fratelli Branca</t>
  </si>
  <si>
    <t>Агрессивный амаро. Сахар около 80 г/л — допустимо для полынных/генциановых ликёров (EU порог 80, не 100). Максимальный bitter=1.</t>
  </si>
  <si>
    <t>L07</t>
  </si>
  <si>
    <t>Amaro Montenegro</t>
  </si>
  <si>
    <t>Montenegro</t>
  </si>
  <si>
    <t>«Лёгкий» амаро: ваниль, роза, горький апельсин. Нужен, чтобы амаро не выглядели одним Fernet.</t>
  </si>
  <si>
    <t>L08</t>
  </si>
  <si>
    <t>Cointreau</t>
  </si>
  <si>
    <t>Rémy Cointreau</t>
  </si>
  <si>
    <t>Фруктовые</t>
  </si>
  <si>
    <t>Цитрусовые</t>
  </si>
  <si>
    <t>Цедровые</t>
  </si>
  <si>
    <t>F-C-Z</t>
  </si>
  <si>
    <t>Эталон triple sec на смеси сладкой и горькой апельсиновой цедры. Горькая цедра ≠ bitter=1.</t>
  </si>
  <si>
    <t>L09</t>
  </si>
  <si>
    <t>Villa Massa Limoncello</t>
  </si>
  <si>
    <t>Villa Massa</t>
  </si>
  <si>
    <t>Сфузато-лимоны Сорренто, настойка цедры. Сахар высокий, как у большинства лимончелло.</t>
  </si>
  <si>
    <t>L10</t>
  </si>
  <si>
    <t>Grand Marnier Cordon Rouge</t>
  </si>
  <si>
    <t>Grand Marnier</t>
  </si>
  <si>
    <t>Цедра + коньяк. Дерево приходит из выдержанной базы, не из настойки апельсина.</t>
  </si>
  <si>
    <t>L11</t>
  </si>
  <si>
    <t>Giffard Pamplemousse</t>
  </si>
  <si>
    <t>Giffard</t>
  </si>
  <si>
    <t>Соковые</t>
  </si>
  <si>
    <t>F-C-J</t>
  </si>
  <si>
    <t>Грейпфрут как сок/мякоть, не как парфюм цедры. Закрывает редкий лист «соковые».</t>
  </si>
  <si>
    <t>L12</t>
  </si>
  <si>
    <t>Lejay Crème de Cassis de Dijon</t>
  </si>
  <si>
    <t>Lejay Lagoute</t>
  </si>
  <si>
    <t>Ягодные</t>
  </si>
  <si>
    <t>Тёмноягодные</t>
  </si>
  <si>
    <t>F-B-D</t>
  </si>
  <si>
    <t>Эталон кассиса. Crème ⇒ сахар ≥250 г/л, обычно ближе к 400. Танин ягоды есть, структурной горечи нет.</t>
  </si>
  <si>
    <t>L13</t>
  </si>
  <si>
    <t>Ponche Crema</t>
  </si>
  <si>
    <t>Ponche Crema / various</t>
  </si>
  <si>
    <t>Венесуэла</t>
  </si>
  <si>
    <t>Эмульсивные</t>
  </si>
  <si>
    <t>Яичные</t>
  </si>
  <si>
    <t>Пряный эггног</t>
  </si>
  <si>
    <t>E-E-S</t>
  </si>
  <si>
    <t>Венесуэльский яично-молочный ликёр со специями и ромовой базой. Закрывает лист «пряный эггног». ABV у края ликёрного минимума 15%.</t>
  </si>
  <si>
    <t>L14</t>
  </si>
  <si>
    <t>Giffard Crème de Fraise des Bois</t>
  </si>
  <si>
    <t>Светлоягодные</t>
  </si>
  <si>
    <t>F-B-L</t>
  </si>
  <si>
    <t>Земляника. Светлый ягодный лист без танина смородины.</t>
  </si>
  <si>
    <t>L15</t>
  </si>
  <si>
    <t>Giffard Abricot du Roussillon</t>
  </si>
  <si>
    <t>Косточковые</t>
  </si>
  <si>
    <t>Абрикосовые</t>
  </si>
  <si>
    <t>F-S-A</t>
  </si>
  <si>
    <t>Абрикос Руссильона. Не путать с amaretto: здесь фрукт, не бензальдегид косточки.</t>
  </si>
  <si>
    <t>L16</t>
  </si>
  <si>
    <t>Archers Peach Schnapps</t>
  </si>
  <si>
    <t>Bacardi</t>
  </si>
  <si>
    <t>Великобритания</t>
  </si>
  <si>
    <t>Персиковые</t>
  </si>
  <si>
    <t>F-S-P</t>
  </si>
  <si>
    <t>Персиковый schnapps. Слабоалкогольный, высокий сахар, нулевая горечь и дерево.</t>
  </si>
  <si>
    <t>L17</t>
  </si>
  <si>
    <t>Malibu Original</t>
  </si>
  <si>
    <t>Pernod Ricard</t>
  </si>
  <si>
    <t>Барбадос</t>
  </si>
  <si>
    <t>Тропические</t>
  </si>
  <si>
    <t>Кокосовые</t>
  </si>
  <si>
    <t>F-T-C</t>
  </si>
  <si>
    <t>Кокос на ромовой базе. Это не сливочная эмульсия: жировой фазы молока нет, поэтому фруктовый лист, не эмульсивный.</t>
  </si>
  <si>
    <t>L18</t>
  </si>
  <si>
    <t>Midori</t>
  </si>
  <si>
    <t>Suntory</t>
  </si>
  <si>
    <t>Япония</t>
  </si>
  <si>
    <t>Дынно-банановые</t>
  </si>
  <si>
    <t>F-T-M</t>
  </si>
  <si>
    <t>Мускусная дыня. Закрывает «дынную» половину тропического листа.</t>
  </si>
  <si>
    <t>L19</t>
  </si>
  <si>
    <t>Bols Crème de Banane</t>
  </si>
  <si>
    <t>Банановая половина того же листа. Crème-сахар, слабоалкогольный.</t>
  </si>
  <si>
    <t>L20</t>
  </si>
  <si>
    <t>Disaronno Originale</t>
  </si>
  <si>
    <t>Illva Saronno</t>
  </si>
  <si>
    <t>Ореховые</t>
  </si>
  <si>
    <t>Ядра косточковых</t>
  </si>
  <si>
    <t>Горько-марципановые</t>
  </si>
  <si>
    <t>N-K-B</t>
  </si>
  <si>
    <t>Профиль абрикосовой косточки / марципана. Горькое ядро ≠ bitter=1: это аромат бензальдегида, не генциан.</t>
  </si>
  <si>
    <t>L21</t>
  </si>
  <si>
    <t>Luxardo Amaretto di Saschira</t>
  </si>
  <si>
    <t>Luxardo</t>
  </si>
  <si>
    <t>Сладко-миндальные</t>
  </si>
  <si>
    <t>N-K-S</t>
  </si>
  <si>
    <t>Более «сладкий миндаль», чем Disaronno. Нужен, чтобы миндальная ветка имела оба L3.</t>
  </si>
  <si>
    <t>L22</t>
  </si>
  <si>
    <t>Frangelico</t>
  </si>
  <si>
    <t>Frangelico / Gruppo Campari</t>
  </si>
  <si>
    <t>Скорлупные</t>
  </si>
  <si>
    <t>Фундучные</t>
  </si>
  <si>
    <t>N-H-F</t>
  </si>
  <si>
    <t>Фундук Пьемонта + ваниль и какао-намёк. Бутылка-монах не означает бочку.</t>
  </si>
  <si>
    <t>L23</t>
  </si>
  <si>
    <t>Nocino Riserva</t>
  </si>
  <si>
    <t>Antica Distilleria Quaglia</t>
  </si>
  <si>
    <t>Грецкоореховые</t>
  </si>
  <si>
    <t>N-H-W</t>
  </si>
  <si>
    <t>Зелёный грецкий орех. Танин даёт bitter=1. Riserva часто видит дуб — wood_contact=1.</t>
  </si>
  <si>
    <t>L24</t>
  </si>
  <si>
    <t>Mr Black Cold Brew</t>
  </si>
  <si>
    <t>Mr Black</t>
  </si>
  <si>
    <t>Австралия</t>
  </si>
  <si>
    <t>Обжаренные</t>
  </si>
  <si>
    <t>Кофейные</t>
  </si>
  <si>
    <t>Сухие</t>
  </si>
  <si>
    <t>R-F-D</t>
  </si>
  <si>
    <t>Cold brew, меньше сахара, чем у Kahlúa. Горечь эспрессо = bitter=1. Ромовой сладости нет.</t>
  </si>
  <si>
    <t>L25</t>
  </si>
  <si>
    <t>Kahlúa</t>
  </si>
  <si>
    <t>Мексика</t>
  </si>
  <si>
    <t>Ромовые</t>
  </si>
  <si>
    <t>R-F-R</t>
  </si>
  <si>
    <t>Кофе + ром + высокий сахар. Горечь кофе перекрыта патокой, поэтому bitter=0. Есть версии 20%, берём массовый 16%.</t>
  </si>
  <si>
    <t>L26</t>
  </si>
  <si>
    <t>Bols Crème de Cacao Brown</t>
  </si>
  <si>
    <t>Какао</t>
  </si>
  <si>
    <t>Тёмный шоколад</t>
  </si>
  <si>
    <t>R-C-K</t>
  </si>
  <si>
    <t>Тёмный какао. Лёгкая бобовая горчинка есть, но не структурная — bitter=0.</t>
  </si>
  <si>
    <t>L27</t>
  </si>
  <si>
    <t>Bols Crème de Cacao White</t>
  </si>
  <si>
    <t>Белый шоколад</t>
  </si>
  <si>
    <t>R-C-W</t>
  </si>
  <si>
    <t>Белый какао: масло какао + ваниль, без тёмного боба. Тот же сахар, другой L3.</t>
  </si>
  <si>
    <t>L28</t>
  </si>
  <si>
    <t>Baileys Original Irish Cream</t>
  </si>
  <si>
    <t>Diageo</t>
  </si>
  <si>
    <t>Ирландия</t>
  </si>
  <si>
    <t>Сливочные</t>
  </si>
  <si>
    <t>Зерновые сливки</t>
  </si>
  <si>
    <t>E-C-G</t>
  </si>
  <si>
    <t>Эталон зерновых сливок. Дерево = выдержанный ирландский виски в базе. Бутылка 1,0 л — частый розлив.</t>
  </si>
  <si>
    <t>L29</t>
  </si>
  <si>
    <t>Amarula</t>
  </si>
  <si>
    <t>Amarula / Distell</t>
  </si>
  <si>
    <t>ЮАР</t>
  </si>
  <si>
    <t>Фруктовые сливки</t>
  </si>
  <si>
    <t>E-C-F</t>
  </si>
  <si>
    <t>Сливки + плод марулы. База — выдержанный фруктовый дистиллят, поэтому wood_contact=1. Не «неирландский Baileys», а другой L3.</t>
  </si>
  <si>
    <t>L30</t>
  </si>
  <si>
    <t>Warninks Advocaat</t>
  </si>
  <si>
    <t>Warninks</t>
  </si>
  <si>
    <t>Классический адвокат</t>
  </si>
  <si>
    <t>E-E-C</t>
  </si>
  <si>
    <t>Желток + бренди + сахар + ваниль. Без праздничных специй — классический адвокат.</t>
  </si>
  <si>
    <t>Сводные формулы по датасету</t>
  </si>
  <si>
    <t>N бутылок</t>
  </si>
  <si>
    <t>Доля bitter=1</t>
  </si>
  <si>
    <t>Доля wood=1</t>
  </si>
  <si>
    <t>Средний ABV, %</t>
  </si>
  <si>
    <t>Мин / макс ABV</t>
  </si>
  <si>
    <t>Средний сахар, г/л</t>
  </si>
  <si>
    <t>Слабых / средних / крепких</t>
  </si>
  <si>
    <t>Таксономия вкуса ликёров (3 уровня)</t>
  </si>
  <si>
    <t>Иерархия описывает доминирующий вкусовой профиль бутылки. У каждого ликёра ровно один путь L1 → L2 → L3. Горечь и контакт с деревом — отдельные бинарные признаки, не уровни таксономии.</t>
  </si>
  <si>
    <t>id_пути</t>
  </si>
  <si>
    <t>L1 семейство</t>
  </si>
  <si>
    <t>L2 группа</t>
  </si>
  <si>
    <t>L3 вид</t>
  </si>
  <si>
    <t>Что это значит</t>
  </si>
  <si>
    <t>Типичные маркеры</t>
  </si>
  <si>
    <t>Пример в датасете</t>
  </si>
  <si>
    <t>Доминирует Mentha (перечная / садовая). Обычно сладкий crème-стиль.</t>
  </si>
  <si>
    <t>ментол, холодок, зелень</t>
  </si>
  <si>
    <t>Bols Crème de Menthe</t>
  </si>
  <si>
    <t>Доминирует Artemisia (полынь, génépi). Горько-смолистый альпийский профиль.</t>
  </si>
  <si>
    <t>полынь, хвойность, камфора</t>
  </si>
  <si>
    <t>Немецко-альпийско-монастырский multi-herb: корни, кожура, специи. Не обязательно «итальянская горечь».</t>
  </si>
  <si>
    <t>анис, имбирь, цитрусовая цедра, смола</t>
  </si>
  <si>
    <t>Jägermeister / Chartreuse Verte</t>
  </si>
  <si>
    <t>Итальянский bittersweet digestif. Горечь целевая (генциан, хина, ревень), сладость балансирует.</t>
  </si>
  <si>
    <t>корка апельсина, карамель, хинин, корень</t>
  </si>
  <si>
    <t>Amaro Averna / Fernet-Branca</t>
  </si>
  <si>
    <t>Аромат и горечь эфирных масел кожуры, а не мякоти.</t>
  </si>
  <si>
    <t>пектин цедры, эфирные масла, сухая цитрусовость</t>
  </si>
  <si>
    <t>Cointreau / Limoncello</t>
  </si>
  <si>
    <t>Ведущий тон — мякоть / сок (грейпфрут, красный апельсин), меньше «парфюма цедры».</t>
  </si>
  <si>
    <t>сок, кислинка, мякоть</t>
  </si>
  <si>
    <t>Тёмные ягоды с танином и «джемом»: смородина, ежевика, чёрная малина.</t>
  </si>
  <si>
    <t>кассис, косточка, фиолетовый джем</t>
  </si>
  <si>
    <t>Lejay Crème de Cassis / Chambord</t>
  </si>
  <si>
    <t>Красные и светлые ягоды без тяжёлого танина: земляника, малина, клюква.</t>
  </si>
  <si>
    <t>свежая ягода, цветочность</t>
  </si>
  <si>
    <t>Giffard Crème de Fraise</t>
  </si>
  <si>
    <t>Абрикос / kernel-adjacent фруктовость без ухода в амаретто.</t>
  </si>
  <si>
    <t>спелый абрикос, курага</t>
  </si>
  <si>
    <t>Персик / нектарин, часто schnapps-профиль.</t>
  </si>
  <si>
    <t>персиковый компот, цветок</t>
  </si>
  <si>
    <t>Кокосовое молоко / мякоть как ведущий тон (не сливочная эмульсия).</t>
  </si>
  <si>
    <t>кокос, ваниль, островной ром</t>
  </si>
  <si>
    <t>Дыня (muskmelon) или банан; сладкий «конфетный» тропический ряд.</t>
  </si>
  <si>
    <t>дыня / банановая конфета</t>
  </si>
  <si>
    <t>Midori / Bols Crème de Banane</t>
  </si>
  <si>
    <t>Миндаль или абрикосовая косточка в стиле amaretto: бензальдегид, марципан.</t>
  </si>
  <si>
    <t>марципан, вишнёвая косточка</t>
  </si>
  <si>
    <t>Disaronno</t>
  </si>
  <si>
    <t>Сладкий миндаль / orgeat-профиль без выраженной горечи ядра.</t>
  </si>
  <si>
    <t>сладкий миндаль, молоко миндаля</t>
  </si>
  <si>
    <t>Жареный лесной орех, часто с ванилью и какао-намёком.</t>
  </si>
  <si>
    <t>фундук, тост, ваниль</t>
  </si>
  <si>
    <t>Зелёный грецкий орех (nocino): танин, специя, лёгкая горчинка.</t>
  </si>
  <si>
    <t>скорлупа, гвоздика, осенняя листва</t>
  </si>
  <si>
    <t>Nocino Antica Distilleria</t>
  </si>
  <si>
    <t>Кофе как обжарка и горечь, сахар не сиропно-ромовый. Ближе к cold brew.</t>
  </si>
  <si>
    <t>эспрессо, какао-горечь, сухой финиш</t>
  </si>
  <si>
    <t>Кофе + выдержанный/сладкий ром: ваниль, карамель, патока.</t>
  </si>
  <si>
    <t xml:space="preserve"> rum cake, карамель, кофейный сироп</t>
  </si>
  <si>
    <t>Какао-масса / тёмный шоколад, возможна лёгкая горчинка боба.</t>
  </si>
  <si>
    <t>какао, обжарка, горький шоколад</t>
  </si>
  <si>
    <t>Какао-масло + молоко + ваниль, без горечи какао-боба.</t>
  </si>
  <si>
    <t>белый шоколад, ваниль, сливки</t>
  </si>
  <si>
    <t>Молочная эмульсия на виски / зерновом спирте. «Ирландский крем» — частный случай.</t>
  </si>
  <si>
    <t>сливки, виски, какао, ваниль</t>
  </si>
  <si>
    <t>Baileys Original</t>
  </si>
  <si>
    <t>Сливочная эмульсия, где ведущий тон — фрукт (марула, кокос, ягода), а не зерновой спирт.</t>
  </si>
  <si>
    <t>тропический фрукт, сливки, карамель</t>
  </si>
  <si>
    <t>Желток + сахар + бренди/нейтральный спирт. Кастард, без выраженных пряностей.</t>
  </si>
  <si>
    <t>яйцо, ваниль, бренди</t>
  </si>
  <si>
    <t>Яичная эмульсия со специями (корица, мускат, гвоздика) и часто ромом.</t>
  </si>
  <si>
    <t>мускат, корица, ром, кастард</t>
  </si>
  <si>
    <t>Принципы, которые я поправил относительно черновика</t>
  </si>
  <si>
    <t>1. Ореховые разделены не «как получится», а по ботанике сырья: ядра косточковых (миндаль / абрикосовая косточка) vs скорлупные (фундук / грецкий). Это разные ароматические семейства (бензальдегид vs обжаренный лесной орех / танин зелёного ореха).</t>
  </si>
  <si>
    <t>2. «Ирландский / не ирландский» заменено на более устойчивый признак: зерновые сливки (whiskey/grain cream) vs фруктовые сливки (marula и аналоги). Ирландский крем — частный случай зерновых сливок, а не отдельный биологический класс.</t>
  </si>
  <si>
    <t>3. Яичные получили третий уровень: классический адвокат (кастард без специй) vs пряный эггног (мускат/корица/гвоздика, часто ром).</t>
  </si>
  <si>
    <t>4. Кройтер расширен до альпийско-монастырского multi-herb (Jägermeister, Becherovka, Chartreuse), амаро оставлен итальянским bittersweet-стилем. Так Chartreuse не приходится насильно запихивать в «амаро».</t>
  </si>
  <si>
    <t>5. Горечь и дерево намеренно вынесены из таксономии вкуса: Fernet и Crème de Menthe оба «травяные», но горечь разная; Grand Marnier цедровый, но дерево даёт коньячная бочка.</t>
  </si>
  <si>
    <t>6. Полынь на L3 — не только абсент. Génépi (Artemisia genipi) — легальный ликёрный лист той же ветки, без путаницы с 60–70% absinthe.</t>
  </si>
  <si>
    <t>Словарь полей и правила кодирования</t>
  </si>
  <si>
    <t>Числовые поля — измерения. Класс крепости считается формулой от ABV. Сахар — г/л инвертного сахара (как в определении ликёра EU 2019/787). Часть значений — опубликованные спецификации, часть — обоснованные оценки (колонка source_quality).</t>
  </si>
  <si>
    <t>Поле</t>
  </si>
  <si>
    <t>Тип</t>
  </si>
  <si>
    <t>Правило</t>
  </si>
  <si>
    <t>ключ</t>
  </si>
  <si>
    <t>L01–L30. Стабильный идентификатор строки.</t>
  </si>
  <si>
    <t>строка</t>
  </si>
  <si>
    <t>Коммерческое имя бутылки, под которым её узнают.</t>
  </si>
  <si>
    <t>Производитель / бренд-владелец.</t>
  </si>
  <si>
    <t>категория</t>
  </si>
  <si>
    <t>Страна производства (не страна бренда-холдинга).</t>
  </si>
  <si>
    <t>бинарный 0/1</t>
  </si>
  <si>
    <t>1 = выраженная горечь как структурный признак (генциан, полынь, хина, какао-боб, эспрессо-горечь). Сладость её не отменяет. 0 = горечь не ведущая.</t>
  </si>
  <si>
    <t>1 = при приготовлении был контакт с деревом: выдержка самого ликёра в бочке ИЛИ выдержанная база, без которой нет профиля (коньяк в Grand Marnier, ирландский виски в Baileys). Нержавейка + нейтральный спирт = 0.</t>
  </si>
  <si>
    <t>число, % об.</t>
  </si>
  <si>
    <t>Крепость типичной экспортной/EU-розлива. У некоторых брендов есть рыночные варианты (Kahlúa 16% и 20%) — берём наиболее распространённый.</t>
  </si>
  <si>
    <t>формула</t>
  </si>
  <si>
    <t>Слабый: 15 ≤ ABV &lt; 20. Средний: 20 ≤ ABV &lt; 30. Крепкий: ABV ≥ 30. Ниже 15% формально не ликёр по EU (минимум 15% об.).</t>
  </si>
  <si>
    <t>число, г/л</t>
  </si>
  <si>
    <t>Сахар как invert sugar. EU-пол для ликёра: 100 г/л (70 для вишнёвых на вишнёвом спирте, 80 для генциана/полыни). Crème-стили обычно ≥ 250 г/л.</t>
  </si>
  <si>
    <t>число, л</t>
  </si>
  <si>
    <t>Типичный розлив, не сувенир 50 мл.</t>
  </si>
  <si>
    <t>l1 / l2 / l3</t>
  </si>
  <si>
    <t>таксономия</t>
  </si>
  <si>
    <t>Ровно один путь. См. лист «Таксономия». id_path — код пути.</t>
  </si>
  <si>
    <t>код</t>
  </si>
  <si>
    <t>Код листа таксономии, чтобы джойнить покрытие.</t>
  </si>
  <si>
    <t>spec = цифра с этикетки/техлиста; literature = устойчивая оценка из барных справочников; estimate = согласованная оценка по стилю.</t>
  </si>
  <si>
    <t>текст</t>
  </si>
  <si>
    <t>Зачем бутылка в датасете и какие оговорки по цифрам.</t>
  </si>
  <si>
    <t>Пороги крепости — обоснование</t>
  </si>
  <si>
    <t>EU 2019/787: ликёр ≥ 15% об. Эмпирически категория распадается на три рабочие зоны. Сливочные и многие фруктовые crème сидят в 15–20% (их надо хранить аккуратнее). Ядро барной полки — 20–30% (amaretto, кофе, фундук, часть амаро). Выше 30% — травяные монастырские, цедровые cocktail-workhorses, часть амаро и кройтер. Chartreuse Verte (55%) — крайний, но легальный ликёр. Aperol (11%) в датасет не вошёл: это аперитив ниже ликёрного порога.</t>
  </si>
  <si>
    <t>Класс</t>
  </si>
  <si>
    <t>Зачем так</t>
  </si>
  <si>
    <t>слабоалкогольный</t>
  </si>
  <si>
    <t>15 ≤ ABV &lt; 20</t>
  </si>
  <si>
    <t>Эмульсии, crème de cassis, часть кофе и персика</t>
  </si>
  <si>
    <t>средний</t>
  </si>
  <si>
    <t>20 ≤ ABV &lt; 30</t>
  </si>
  <si>
    <t>Орехи, дыня, кокос, большинство амаро «для негратони»</t>
  </si>
  <si>
    <t>крепкий</t>
  </si>
  <si>
    <t>ABV ≥ 30</t>
  </si>
  <si>
    <t>Кройтер, Chartreuse, Cointreau, Limoncello, Fernet</t>
  </si>
  <si>
    <t>Покрытие таксономии и баланс признаков</t>
  </si>
  <si>
    <t>Каждый лист L3 должен иметь ≥1 пример. Сводка считается формулами с листа «Датасет».</t>
  </si>
  <si>
    <t>L1</t>
  </si>
  <si>
    <t>L2</t>
  </si>
  <si>
    <t>L3</t>
  </si>
  <si>
    <t>N в датасете</t>
  </si>
  <si>
    <t>Статус</t>
  </si>
  <si>
    <t>Листьев L3 всего</t>
  </si>
  <si>
    <t>Страны (уникальных)</t>
  </si>
  <si>
    <t>Листьев без примера</t>
  </si>
  <si>
    <t>Бутылок всего</t>
  </si>
  <si>
    <t>Семейств L1</t>
  </si>
  <si>
    <t>Семейство L1</t>
  </si>
  <si>
    <t>N</t>
  </si>
  <si>
    <t>Как читать и расширять датасет</t>
  </si>
  <si>
    <t>Тема</t>
  </si>
  <si>
    <t>Пояснение</t>
  </si>
  <si>
    <t>Что это</t>
  </si>
  <si>
    <t>Готовый учебный/рабочий датасет на 30 реальных ликёров. Не синтетические имена: у каждой строки есть бутылка, которую можно купить. Цифры ABV/сахара — смесь спецификаций и барной литературы; колонка source_quality это показывает.</t>
  </si>
  <si>
    <t>Таксономия</t>
  </si>
  <si>
    <t>Сначала лист «Таксономия»: 5 семейств → группы → виды. 24 листа L3, все закрыты хотя бы одной бутылкой. id_path — стабильный код для группировок и one-hot кодирования.</t>
  </si>
  <si>
    <t>Признаки модели</t>
  </si>
  <si>
    <t>Два бинарных (bitter, wood_contact), три числовых (abv_pct, sugar_gpl, volume_l), одно категориальное страна, одно иерархическое вкус. Класс крепости не признак-источник, а производный: не кладите его в одну модель вместе с ABV без нужды — это коллинеарность.</t>
  </si>
  <si>
    <t>Почему не 24, а 30</t>
  </si>
  <si>
    <t>Некоторые листья специально имеют по 2 примера (амаро, кройтер, цедра, тёмная ягода заменена на покрытие яичного листа, дынно-банановые, какао). Это чтобы класс не держался на одной точке.</t>
  </si>
  <si>
    <t>Ограничения</t>
  </si>
  <si>
    <t>Сахар у части позиций — оценка по стилю, не лабораторный анализ конкретной партии. ABV плавает по рынкам (Kahlúa 16/20, Chartreuse VEP и т.д.). Страна — место производства, не штаб-квартира холдинга.</t>
  </si>
  <si>
    <t>Как добавить 31-ю бутылку</t>
  </si>
  <si>
    <t>Скопируйте строку, выдайте новый id, проставьте id_path из таксономии, не выдумывайте новый L3 без записи на лист таксономии. abv_class подтянется формулой. На листе «Покрытие» COUNTIF обновится сам.</t>
  </si>
  <si>
    <t>Идеи задач</t>
  </si>
  <si>
    <t>Классификация L1 по числу+бинарным; предсказание bitter; кластеризация без таксономии и сверка с ней; one-hot id_path vs иерархические эмбеддинги L1/L2/L3.</t>
  </si>
  <si>
    <t>Датасет ликёров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</si>
</sst>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8"/>
      <color rgb="FF1B2A4A"/>
      <name val="Calibri"/>
      <charset val="1"/>
    </font>
    <font>
      <i/>
      <sz val="10"/>
      <color rgb="FF5C5C5C"/>
      <name val="Calibri"/>
      <charset val="1"/>
    </font>
    <font>
      <b/>
      <sz val="11"/>
      <color rgb="FFFFFFFF"/>
      <name val="Calibri"/>
      <charset val="1"/>
    </font>
    <font>
      <sz val="11"/>
      <color rgb="FF1A1A1A"/>
      <name val="Calibri"/>
      <charset val="1"/>
    </font>
    <font>
      <b/>
      <sz val="12"/>
      <color rgb="FF1B2A4A"/>
      <name val="Calibri"/>
      <charset val="1"/>
    </font>
    <font>
      <b/>
      <sz val="11"/>
      <color rgb="FF1B2A4A"/>
      <name val="Calibri"/>
      <charset val="1"/>
    </font>
    <font>
      <sz val="10"/>
      <color rgb="FF1B2A4A"/>
      <name val="Consolas"/>
      <charset val="1"/>
    </font>
    <font>
      <sz val="10"/>
      <color rgb="FF1A1A1A"/>
      <name val="Calibri"/>
      <charset val="1"/>
    </font>
    <font>
      <sz val="11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3D6D6"/>
        <bgColor rgb="FFFADBD8"/>
      </patternFill>
    </fill>
    <fill>
      <patternFill patternType="solid">
        <fgColor rgb="FF3D6B4F"/>
        <bgColor rgb="FF2A6F6F"/>
      </patternFill>
    </fill>
    <fill>
      <patternFill patternType="solid">
        <fgColor rgb="FFD8EED8"/>
        <bgColor rgb="FFD6EAF8"/>
      </patternFill>
    </fill>
    <fill>
      <patternFill patternType="solid">
        <fgColor rgb="FFB85C38"/>
        <bgColor rgb="FF8B6914"/>
      </patternFill>
    </fill>
    <fill>
      <patternFill patternType="solid">
        <fgColor rgb="FF7A5C78"/>
        <bgColor rgb="FF5C5C5C"/>
      </patternFill>
    </fill>
    <fill>
      <patternFill patternType="solid">
        <fgColor rgb="FF8B6914"/>
        <bgColor rgb="FFB85C38"/>
      </patternFill>
    </fill>
    <fill>
      <patternFill patternType="solid">
        <fgColor rgb="FF5C3A21"/>
        <bgColor rgb="FF5C5C5C"/>
      </patternFill>
    </fill>
    <fill>
      <patternFill patternType="solid">
        <fgColor rgb="FF2A6F6F"/>
        <bgColor rgb="FF3D6B4F"/>
      </patternFill>
    </fill>
    <fill>
      <patternFill patternType="solid">
        <fgColor rgb="FFD6EAF8"/>
        <bgColor rgb="FFD8EED8"/>
      </patternFill>
    </fill>
    <fill>
      <patternFill patternType="solid">
        <fgColor rgb="FFFCF3CF"/>
        <bgColor rgb="FFF9F9F9"/>
      </patternFill>
    </fill>
    <fill>
      <patternFill patternType="solid">
        <fgColor rgb="FFFADBD8"/>
        <bgColor rgb="FFF3D6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0" borderId="0" xfId="0" applyFont="1"/>
    <xf numFmtId="0" fontId="6" fillId="0" borderId="0" xfId="0" applyFont="1"/>
    <xf numFmtId="9" fontId="6" fillId="0" borderId="0" xfId="0" applyNumberFormat="1" applyFont="1"/>
    <xf numFmtId="164" fontId="6" fillId="0" borderId="0" xfId="0" applyNumberFormat="1" applyFont="1"/>
    <xf numFmtId="1" fontId="6" fillId="0" borderId="0" xfId="0" applyNumberFormat="1" applyFont="1"/>
    <xf numFmtId="0" fontId="7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4" fillId="0" borderId="1" xfId="0" applyFont="1" applyBorder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Обычный" xfId="0" builtinId="0"/>
  </cellStyles>
  <dxfs count="5">
    <dxf>
      <fill>
        <patternFill>
          <bgColor rgb="FFD8EED8"/>
        </patternFill>
      </fill>
    </dxf>
    <dxf>
      <fill>
        <patternFill>
          <bgColor rgb="FFF3D6D6"/>
        </patternFill>
      </fill>
    </dxf>
    <dxf>
      <fill>
        <patternFill>
          <bgColor rgb="FFFADBD8"/>
        </patternFill>
      </fill>
    </dxf>
    <dxf>
      <fill>
        <patternFill>
          <bgColor rgb="FFFCF3CF"/>
        </patternFill>
      </fill>
    </dxf>
    <dxf>
      <fill>
        <patternFill>
          <bgColor rgb="FFD6EAF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2A6F6F"/>
      <rgbColor rgb="FFD9D9D9"/>
      <rgbColor rgb="FF878787"/>
      <rgbColor rgb="FF9999FF"/>
      <rgbColor rgb="FFB85C38"/>
      <rgbColor rgb="FFFCF3CF"/>
      <rgbColor rgb="FFD6EA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8EED8"/>
      <rgbColor rgb="FFFADBD8"/>
      <rgbColor rgb="FF99CCFF"/>
      <rgbColor rgb="FFFF99CC"/>
      <rgbColor rgb="FFCC99FF"/>
      <rgbColor rgb="FFF3D6D6"/>
      <rgbColor rgb="FF4F81BD"/>
      <rgbColor rgb="FF33CCCC"/>
      <rgbColor rgb="FF99CC00"/>
      <rgbColor rgb="FFFFCC00"/>
      <rgbColor rgb="FFFF9900"/>
      <rgbColor rgb="FFFF6600"/>
      <rgbColor rgb="FF7A5C78"/>
      <rgbColor rgb="FF969696"/>
      <rgbColor rgb="FF003366"/>
      <rgbColor rgb="FF3D6B4F"/>
      <rgbColor rgb="FF003300"/>
      <rgbColor rgb="FF1A1A1A"/>
      <rgbColor rgb="FF5C3A21"/>
      <rgbColor rgb="FF993366"/>
      <rgbColor rgb="FF5C5C5C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Бутылок по семейству L1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Покрытие!$B$36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Покрытие!$A$37:$A$41</c:f>
              <c:strCache>
                <c:ptCount val="5"/>
                <c:pt idx="0">
                  <c:v>Травяные</c:v>
                </c:pt>
                <c:pt idx="1">
                  <c:v>Фруктовые</c:v>
                </c:pt>
                <c:pt idx="2">
                  <c:v>Ореховые</c:v>
                </c:pt>
                <c:pt idx="3">
                  <c:v>Обжаренные</c:v>
                </c:pt>
                <c:pt idx="4">
                  <c:v>Эмульсивные</c:v>
                </c:pt>
              </c:strCache>
            </c:strRef>
          </c:cat>
          <c:val>
            <c:numRef>
              <c:f>Покрытие!$B$37:$B$41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0-4A3D-845E-70FF1BC6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1241"/>
        <c:axId val="92597988"/>
      </c:barChart>
      <c:catAx>
        <c:axId val="20661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597988"/>
        <c:crosses val="autoZero"/>
        <c:auto val="1"/>
        <c:lblAlgn val="ctr"/>
        <c:lblOffset val="100"/>
        <c:noMultiLvlLbl val="0"/>
      </c:catAx>
      <c:valAx>
        <c:axId val="9259798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0661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35</xdr:row>
      <xdr:rowOff>0</xdr:rowOff>
    </xdr:from>
    <xdr:to>
      <xdr:col>6</xdr:col>
      <xdr:colOff>231480</xdr:colOff>
      <xdr:row>50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3"/>
  <sheetViews>
    <sheetView showGridLines="0" tabSelected="1" zoomScale="83" zoomScaleNormal="100" workbookViewId="0">
      <pane ySplit="4" topLeftCell="A27" activePane="bottomLeft" state="frozen"/>
      <selection pane="bottomLeft" activeCell="J7" sqref="J7"/>
    </sheetView>
  </sheetViews>
  <sheetFormatPr defaultColWidth="8.7109375" defaultRowHeight="15" x14ac:dyDescent="0.25"/>
  <cols>
    <col min="1" max="1" width="8" customWidth="1"/>
    <col min="2" max="2" width="34" customWidth="1"/>
    <col min="3" max="3" width="28" customWidth="1"/>
    <col min="4" max="4" width="16" customWidth="1"/>
    <col min="5" max="5" width="10" customWidth="1"/>
    <col min="6" max="6" width="14" customWidth="1"/>
    <col min="7" max="7" width="10" customWidth="1"/>
    <col min="8" max="8" width="18" customWidth="1"/>
    <col min="9" max="9" width="12" customWidth="1"/>
    <col min="10" max="10" width="11" customWidth="1"/>
    <col min="11" max="11" width="16" customWidth="1"/>
    <col min="12" max="12" width="22" customWidth="1"/>
    <col min="13" max="13" width="24" customWidth="1"/>
    <col min="14" max="14" width="12" customWidth="1"/>
    <col min="15" max="15" width="16" customWidth="1"/>
    <col min="16" max="16" width="62" customWidth="1"/>
  </cols>
  <sheetData>
    <row r="1" spans="1:18" ht="25.5" customHeight="1" x14ac:dyDescent="0.35">
      <c r="A1" s="8" t="s">
        <v>368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31.5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spans="1:18" ht="24" customHeight="1" x14ac:dyDescent="0.2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</row>
    <row r="5" spans="1:18" ht="48" customHeight="1" x14ac:dyDescent="0.25">
      <c r="A5" s="10" t="s">
        <v>17</v>
      </c>
      <c r="B5" s="10" t="s">
        <v>18</v>
      </c>
      <c r="C5" s="10" t="s">
        <v>19</v>
      </c>
      <c r="D5" s="10" t="s">
        <v>20</v>
      </c>
      <c r="E5" s="11">
        <v>0</v>
      </c>
      <c r="F5" s="11">
        <v>0</v>
      </c>
      <c r="G5" s="12">
        <v>24</v>
      </c>
      <c r="H5" s="13" t="str">
        <f t="shared" ref="H5:H34" si="0">IF(G5="","",IF(G5&lt;15,"ниже порога ликёра",IF(G5&lt;20,"слабоалкогольный",IF(G5&lt;30,"средний","крепкий"))))</f>
        <v>средний</v>
      </c>
      <c r="I5" s="14">
        <v>400</v>
      </c>
      <c r="J5" s="15">
        <v>0.7</v>
      </c>
      <c r="K5" s="16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</row>
    <row r="6" spans="1:18" ht="48" customHeight="1" x14ac:dyDescent="0.25">
      <c r="A6" s="10" t="s">
        <v>27</v>
      </c>
      <c r="B6" s="10" t="s">
        <v>28</v>
      </c>
      <c r="C6" s="10" t="s">
        <v>29</v>
      </c>
      <c r="D6" s="10" t="s">
        <v>30</v>
      </c>
      <c r="E6" s="17">
        <v>1</v>
      </c>
      <c r="F6" s="11">
        <v>0</v>
      </c>
      <c r="G6" s="12">
        <v>40</v>
      </c>
      <c r="H6" s="13" t="str">
        <f t="shared" si="0"/>
        <v>крепкий</v>
      </c>
      <c r="I6" s="14">
        <v>200</v>
      </c>
      <c r="J6" s="15">
        <v>0.5</v>
      </c>
      <c r="K6" s="16" t="s">
        <v>21</v>
      </c>
      <c r="L6" s="10" t="s">
        <v>22</v>
      </c>
      <c r="M6" s="10" t="s">
        <v>31</v>
      </c>
      <c r="N6" s="10" t="s">
        <v>32</v>
      </c>
      <c r="O6" s="10" t="s">
        <v>33</v>
      </c>
      <c r="P6" s="10" t="s">
        <v>34</v>
      </c>
    </row>
    <row r="7" spans="1:18" ht="48" customHeight="1" x14ac:dyDescent="0.25">
      <c r="A7" s="10" t="s">
        <v>35</v>
      </c>
      <c r="B7" s="10" t="s">
        <v>36</v>
      </c>
      <c r="C7" s="10" t="s">
        <v>37</v>
      </c>
      <c r="D7" s="10" t="s">
        <v>38</v>
      </c>
      <c r="E7" s="17">
        <v>1</v>
      </c>
      <c r="F7" s="11">
        <v>0</v>
      </c>
      <c r="G7" s="12">
        <v>35</v>
      </c>
      <c r="H7" s="13" t="str">
        <f t="shared" si="0"/>
        <v>крепкий</v>
      </c>
      <c r="I7" s="14">
        <v>136</v>
      </c>
      <c r="J7" s="15">
        <v>0.7</v>
      </c>
      <c r="K7" s="16" t="s">
        <v>21</v>
      </c>
      <c r="L7" s="10" t="s">
        <v>39</v>
      </c>
      <c r="M7" s="10" t="s">
        <v>40</v>
      </c>
      <c r="N7" s="10" t="s">
        <v>41</v>
      </c>
      <c r="O7" s="10" t="s">
        <v>42</v>
      </c>
      <c r="P7" s="10" t="s">
        <v>43</v>
      </c>
    </row>
    <row r="8" spans="1:18" ht="48" customHeight="1" x14ac:dyDescent="0.25">
      <c r="A8" s="10" t="s">
        <v>44</v>
      </c>
      <c r="B8" s="10" t="s">
        <v>45</v>
      </c>
      <c r="C8" s="10" t="s">
        <v>46</v>
      </c>
      <c r="D8" s="10" t="s">
        <v>30</v>
      </c>
      <c r="E8" s="17">
        <v>1</v>
      </c>
      <c r="F8" s="11">
        <v>0</v>
      </c>
      <c r="G8" s="12">
        <v>55</v>
      </c>
      <c r="H8" s="13" t="str">
        <f t="shared" si="0"/>
        <v>крепкий</v>
      </c>
      <c r="I8" s="14">
        <v>250</v>
      </c>
      <c r="J8" s="15">
        <v>0.7</v>
      </c>
      <c r="K8" s="16" t="s">
        <v>21</v>
      </c>
      <c r="L8" s="10" t="s">
        <v>39</v>
      </c>
      <c r="M8" s="10" t="s">
        <v>40</v>
      </c>
      <c r="N8" s="10" t="s">
        <v>41</v>
      </c>
      <c r="O8" s="10" t="s">
        <v>25</v>
      </c>
      <c r="P8" s="10" t="s">
        <v>47</v>
      </c>
    </row>
    <row r="9" spans="1:18" ht="48" customHeight="1" x14ac:dyDescent="0.25">
      <c r="A9" s="10" t="s">
        <v>48</v>
      </c>
      <c r="B9" s="10" t="s">
        <v>49</v>
      </c>
      <c r="C9" s="10" t="s">
        <v>50</v>
      </c>
      <c r="D9" s="10" t="s">
        <v>51</v>
      </c>
      <c r="E9" s="17">
        <v>1</v>
      </c>
      <c r="F9" s="17">
        <v>1</v>
      </c>
      <c r="G9" s="12">
        <v>29</v>
      </c>
      <c r="H9" s="13" t="str">
        <f t="shared" si="0"/>
        <v>средний</v>
      </c>
      <c r="I9" s="14">
        <v>230</v>
      </c>
      <c r="J9" s="15">
        <v>0.7</v>
      </c>
      <c r="K9" s="16" t="s">
        <v>21</v>
      </c>
      <c r="L9" s="10" t="s">
        <v>39</v>
      </c>
      <c r="M9" s="10" t="s">
        <v>52</v>
      </c>
      <c r="N9" s="10" t="s">
        <v>53</v>
      </c>
      <c r="O9" s="10" t="s">
        <v>25</v>
      </c>
      <c r="P9" s="10" t="s">
        <v>54</v>
      </c>
    </row>
    <row r="10" spans="1:18" ht="48" customHeight="1" x14ac:dyDescent="0.25">
      <c r="A10" s="10" t="s">
        <v>55</v>
      </c>
      <c r="B10" s="10" t="s">
        <v>56</v>
      </c>
      <c r="C10" s="10" t="s">
        <v>57</v>
      </c>
      <c r="D10" s="10" t="s">
        <v>51</v>
      </c>
      <c r="E10" s="17">
        <v>1</v>
      </c>
      <c r="F10" s="11">
        <v>0</v>
      </c>
      <c r="G10" s="12">
        <v>39</v>
      </c>
      <c r="H10" s="13" t="str">
        <f t="shared" si="0"/>
        <v>крепкий</v>
      </c>
      <c r="I10" s="14">
        <v>80</v>
      </c>
      <c r="J10" s="15">
        <v>0.7</v>
      </c>
      <c r="K10" s="16" t="s">
        <v>21</v>
      </c>
      <c r="L10" s="10" t="s">
        <v>39</v>
      </c>
      <c r="M10" s="10" t="s">
        <v>52</v>
      </c>
      <c r="N10" s="10" t="s">
        <v>53</v>
      </c>
      <c r="O10" s="10" t="s">
        <v>25</v>
      </c>
      <c r="P10" s="10" t="s">
        <v>58</v>
      </c>
    </row>
    <row r="11" spans="1:18" ht="48" customHeight="1" x14ac:dyDescent="0.25">
      <c r="A11" s="10" t="s">
        <v>59</v>
      </c>
      <c r="B11" s="10" t="s">
        <v>60</v>
      </c>
      <c r="C11" s="10" t="s">
        <v>61</v>
      </c>
      <c r="D11" s="10" t="s">
        <v>51</v>
      </c>
      <c r="E11" s="17">
        <v>1</v>
      </c>
      <c r="F11" s="11">
        <v>0</v>
      </c>
      <c r="G11" s="12">
        <v>23</v>
      </c>
      <c r="H11" s="13" t="str">
        <f t="shared" si="0"/>
        <v>средний</v>
      </c>
      <c r="I11" s="14">
        <v>220</v>
      </c>
      <c r="J11" s="15">
        <v>0.7</v>
      </c>
      <c r="K11" s="16" t="s">
        <v>21</v>
      </c>
      <c r="L11" s="10" t="s">
        <v>39</v>
      </c>
      <c r="M11" s="10" t="s">
        <v>52</v>
      </c>
      <c r="N11" s="10" t="s">
        <v>53</v>
      </c>
      <c r="O11" s="10" t="s">
        <v>33</v>
      </c>
      <c r="P11" s="10" t="s">
        <v>62</v>
      </c>
    </row>
    <row r="12" spans="1:18" ht="48" customHeight="1" x14ac:dyDescent="0.25">
      <c r="A12" s="10" t="s">
        <v>63</v>
      </c>
      <c r="B12" s="10" t="s">
        <v>64</v>
      </c>
      <c r="C12" s="10" t="s">
        <v>65</v>
      </c>
      <c r="D12" s="10" t="s">
        <v>30</v>
      </c>
      <c r="E12" s="11">
        <v>0</v>
      </c>
      <c r="F12" s="11">
        <v>0</v>
      </c>
      <c r="G12" s="12">
        <v>40</v>
      </c>
      <c r="H12" s="13" t="str">
        <f t="shared" si="0"/>
        <v>крепкий</v>
      </c>
      <c r="I12" s="14">
        <v>200</v>
      </c>
      <c r="J12" s="15">
        <v>0.7</v>
      </c>
      <c r="K12" s="18" t="s">
        <v>66</v>
      </c>
      <c r="L12" s="10" t="s">
        <v>67</v>
      </c>
      <c r="M12" s="10" t="s">
        <v>68</v>
      </c>
      <c r="N12" s="10" t="s">
        <v>69</v>
      </c>
      <c r="O12" s="10" t="s">
        <v>25</v>
      </c>
      <c r="P12" s="10" t="s">
        <v>70</v>
      </c>
    </row>
    <row r="13" spans="1:18" ht="48" customHeight="1" x14ac:dyDescent="0.25">
      <c r="A13" s="10" t="s">
        <v>71</v>
      </c>
      <c r="B13" s="10" t="s">
        <v>72</v>
      </c>
      <c r="C13" s="10" t="s">
        <v>73</v>
      </c>
      <c r="D13" s="10" t="s">
        <v>51</v>
      </c>
      <c r="E13" s="11">
        <v>0</v>
      </c>
      <c r="F13" s="11">
        <v>0</v>
      </c>
      <c r="G13" s="12">
        <v>30</v>
      </c>
      <c r="H13" s="13" t="str">
        <f t="shared" si="0"/>
        <v>крепкий</v>
      </c>
      <c r="I13" s="14">
        <v>320</v>
      </c>
      <c r="J13" s="15">
        <v>0.7</v>
      </c>
      <c r="K13" s="18" t="s">
        <v>66</v>
      </c>
      <c r="L13" s="10" t="s">
        <v>67</v>
      </c>
      <c r="M13" s="10" t="s">
        <v>68</v>
      </c>
      <c r="N13" s="10" t="s">
        <v>69</v>
      </c>
      <c r="O13" s="10" t="s">
        <v>33</v>
      </c>
      <c r="P13" s="10" t="s">
        <v>74</v>
      </c>
    </row>
    <row r="14" spans="1:18" ht="48" customHeight="1" x14ac:dyDescent="0.25">
      <c r="A14" s="10" t="s">
        <v>75</v>
      </c>
      <c r="B14" s="10" t="s">
        <v>76</v>
      </c>
      <c r="C14" s="10" t="s">
        <v>77</v>
      </c>
      <c r="D14" s="10" t="s">
        <v>30</v>
      </c>
      <c r="E14" s="11">
        <v>0</v>
      </c>
      <c r="F14" s="17">
        <v>1</v>
      </c>
      <c r="G14" s="12">
        <v>40</v>
      </c>
      <c r="H14" s="13" t="str">
        <f t="shared" si="0"/>
        <v>крепкий</v>
      </c>
      <c r="I14" s="14">
        <v>214</v>
      </c>
      <c r="J14" s="15">
        <v>0.7</v>
      </c>
      <c r="K14" s="18" t="s">
        <v>66</v>
      </c>
      <c r="L14" s="10" t="s">
        <v>67</v>
      </c>
      <c r="M14" s="10" t="s">
        <v>68</v>
      </c>
      <c r="N14" s="10" t="s">
        <v>69</v>
      </c>
      <c r="O14" s="10" t="s">
        <v>25</v>
      </c>
      <c r="P14" s="10" t="s">
        <v>78</v>
      </c>
    </row>
    <row r="15" spans="1:18" ht="48" customHeight="1" x14ac:dyDescent="0.25">
      <c r="A15" s="10" t="s">
        <v>79</v>
      </c>
      <c r="B15" s="10" t="s">
        <v>80</v>
      </c>
      <c r="C15" s="10" t="s">
        <v>81</v>
      </c>
      <c r="D15" s="10" t="s">
        <v>30</v>
      </c>
      <c r="E15" s="11">
        <v>0</v>
      </c>
      <c r="F15" s="11">
        <v>0</v>
      </c>
      <c r="G15" s="12">
        <v>16</v>
      </c>
      <c r="H15" s="13" t="str">
        <f t="shared" si="0"/>
        <v>слабоалкогольный</v>
      </c>
      <c r="I15" s="14">
        <v>260</v>
      </c>
      <c r="J15" s="15">
        <v>0.7</v>
      </c>
      <c r="K15" s="18" t="s">
        <v>66</v>
      </c>
      <c r="L15" s="10" t="s">
        <v>67</v>
      </c>
      <c r="M15" s="10" t="s">
        <v>82</v>
      </c>
      <c r="N15" s="10" t="s">
        <v>83</v>
      </c>
      <c r="O15" s="10" t="s">
        <v>33</v>
      </c>
      <c r="P15" s="10" t="s">
        <v>84</v>
      </c>
    </row>
    <row r="16" spans="1:18" ht="48" customHeight="1" x14ac:dyDescent="0.25">
      <c r="A16" s="10" t="s">
        <v>85</v>
      </c>
      <c r="B16" s="10" t="s">
        <v>86</v>
      </c>
      <c r="C16" s="10" t="s">
        <v>87</v>
      </c>
      <c r="D16" s="10" t="s">
        <v>30</v>
      </c>
      <c r="E16" s="11">
        <v>0</v>
      </c>
      <c r="F16" s="11">
        <v>0</v>
      </c>
      <c r="G16" s="12">
        <v>20</v>
      </c>
      <c r="H16" s="13" t="str">
        <f t="shared" si="0"/>
        <v>средний</v>
      </c>
      <c r="I16" s="14">
        <v>400</v>
      </c>
      <c r="J16" s="15">
        <v>0.7</v>
      </c>
      <c r="K16" s="18" t="s">
        <v>66</v>
      </c>
      <c r="L16" s="10" t="s">
        <v>88</v>
      </c>
      <c r="M16" s="10" t="s">
        <v>89</v>
      </c>
      <c r="N16" s="10" t="s">
        <v>90</v>
      </c>
      <c r="O16" s="10" t="s">
        <v>25</v>
      </c>
      <c r="P16" s="10" t="s">
        <v>91</v>
      </c>
    </row>
    <row r="17" spans="1:16" ht="48" customHeight="1" x14ac:dyDescent="0.25">
      <c r="A17" s="10" t="s">
        <v>92</v>
      </c>
      <c r="B17" s="10" t="s">
        <v>93</v>
      </c>
      <c r="C17" s="10" t="s">
        <v>94</v>
      </c>
      <c r="D17" s="10" t="s">
        <v>95</v>
      </c>
      <c r="E17" s="11">
        <v>0</v>
      </c>
      <c r="F17" s="11">
        <v>0</v>
      </c>
      <c r="G17" s="12">
        <v>15</v>
      </c>
      <c r="H17" s="13" t="str">
        <f t="shared" si="0"/>
        <v>слабоалкогольный</v>
      </c>
      <c r="I17" s="14">
        <v>240</v>
      </c>
      <c r="J17" s="15">
        <v>0.75</v>
      </c>
      <c r="K17" s="19" t="s">
        <v>96</v>
      </c>
      <c r="L17" s="10" t="s">
        <v>97</v>
      </c>
      <c r="M17" s="10" t="s">
        <v>98</v>
      </c>
      <c r="N17" s="10" t="s">
        <v>99</v>
      </c>
      <c r="O17" s="10" t="s">
        <v>33</v>
      </c>
      <c r="P17" s="10" t="s">
        <v>100</v>
      </c>
    </row>
    <row r="18" spans="1:16" ht="48" customHeight="1" x14ac:dyDescent="0.25">
      <c r="A18" s="10" t="s">
        <v>101</v>
      </c>
      <c r="B18" s="10" t="s">
        <v>102</v>
      </c>
      <c r="C18" s="10" t="s">
        <v>81</v>
      </c>
      <c r="D18" s="10" t="s">
        <v>30</v>
      </c>
      <c r="E18" s="11">
        <v>0</v>
      </c>
      <c r="F18" s="11">
        <v>0</v>
      </c>
      <c r="G18" s="12">
        <v>16</v>
      </c>
      <c r="H18" s="13" t="str">
        <f t="shared" si="0"/>
        <v>слабоалкогольный</v>
      </c>
      <c r="I18" s="14">
        <v>380</v>
      </c>
      <c r="J18" s="15">
        <v>0.7</v>
      </c>
      <c r="K18" s="18" t="s">
        <v>66</v>
      </c>
      <c r="L18" s="10" t="s">
        <v>88</v>
      </c>
      <c r="M18" s="10" t="s">
        <v>103</v>
      </c>
      <c r="N18" s="10" t="s">
        <v>104</v>
      </c>
      <c r="O18" s="10" t="s">
        <v>33</v>
      </c>
      <c r="P18" s="10" t="s">
        <v>105</v>
      </c>
    </row>
    <row r="19" spans="1:16" ht="48" customHeight="1" x14ac:dyDescent="0.25">
      <c r="A19" s="10" t="s">
        <v>106</v>
      </c>
      <c r="B19" s="10" t="s">
        <v>107</v>
      </c>
      <c r="C19" s="10" t="s">
        <v>81</v>
      </c>
      <c r="D19" s="10" t="s">
        <v>30</v>
      </c>
      <c r="E19" s="11">
        <v>0</v>
      </c>
      <c r="F19" s="11">
        <v>0</v>
      </c>
      <c r="G19" s="12">
        <v>25</v>
      </c>
      <c r="H19" s="13" t="str">
        <f t="shared" si="0"/>
        <v>средний</v>
      </c>
      <c r="I19" s="14">
        <v>280</v>
      </c>
      <c r="J19" s="15">
        <v>0.7</v>
      </c>
      <c r="K19" s="18" t="s">
        <v>66</v>
      </c>
      <c r="L19" s="10" t="s">
        <v>108</v>
      </c>
      <c r="M19" s="10" t="s">
        <v>109</v>
      </c>
      <c r="N19" s="10" t="s">
        <v>110</v>
      </c>
      <c r="O19" s="10" t="s">
        <v>33</v>
      </c>
      <c r="P19" s="10" t="s">
        <v>111</v>
      </c>
    </row>
    <row r="20" spans="1:16" ht="48" customHeight="1" x14ac:dyDescent="0.25">
      <c r="A20" s="10" t="s">
        <v>112</v>
      </c>
      <c r="B20" s="10" t="s">
        <v>113</v>
      </c>
      <c r="C20" s="10" t="s">
        <v>114</v>
      </c>
      <c r="D20" s="10" t="s">
        <v>115</v>
      </c>
      <c r="E20" s="11">
        <v>0</v>
      </c>
      <c r="F20" s="11">
        <v>0</v>
      </c>
      <c r="G20" s="12">
        <v>18</v>
      </c>
      <c r="H20" s="13" t="str">
        <f t="shared" si="0"/>
        <v>слабоалкогольный</v>
      </c>
      <c r="I20" s="14">
        <v>280</v>
      </c>
      <c r="J20" s="15">
        <v>0.7</v>
      </c>
      <c r="K20" s="18" t="s">
        <v>66</v>
      </c>
      <c r="L20" s="10" t="s">
        <v>108</v>
      </c>
      <c r="M20" s="10" t="s">
        <v>116</v>
      </c>
      <c r="N20" s="10" t="s">
        <v>117</v>
      </c>
      <c r="O20" s="10" t="s">
        <v>33</v>
      </c>
      <c r="P20" s="10" t="s">
        <v>118</v>
      </c>
    </row>
    <row r="21" spans="1:16" ht="48" customHeight="1" x14ac:dyDescent="0.25">
      <c r="A21" s="10" t="s">
        <v>119</v>
      </c>
      <c r="B21" s="10" t="s">
        <v>120</v>
      </c>
      <c r="C21" s="10" t="s">
        <v>121</v>
      </c>
      <c r="D21" s="10" t="s">
        <v>122</v>
      </c>
      <c r="E21" s="11">
        <v>0</v>
      </c>
      <c r="F21" s="11">
        <v>0</v>
      </c>
      <c r="G21" s="12">
        <v>21</v>
      </c>
      <c r="H21" s="13" t="str">
        <f t="shared" si="0"/>
        <v>средний</v>
      </c>
      <c r="I21" s="14">
        <v>180</v>
      </c>
      <c r="J21" s="15">
        <v>0.7</v>
      </c>
      <c r="K21" s="18" t="s">
        <v>66</v>
      </c>
      <c r="L21" s="10" t="s">
        <v>123</v>
      </c>
      <c r="M21" s="10" t="s">
        <v>124</v>
      </c>
      <c r="N21" s="10" t="s">
        <v>125</v>
      </c>
      <c r="O21" s="10" t="s">
        <v>25</v>
      </c>
      <c r="P21" s="10" t="s">
        <v>126</v>
      </c>
    </row>
    <row r="22" spans="1:16" ht="48" customHeight="1" x14ac:dyDescent="0.25">
      <c r="A22" s="10" t="s">
        <v>127</v>
      </c>
      <c r="B22" s="10" t="s">
        <v>128</v>
      </c>
      <c r="C22" s="10" t="s">
        <v>129</v>
      </c>
      <c r="D22" s="10" t="s">
        <v>130</v>
      </c>
      <c r="E22" s="11">
        <v>0</v>
      </c>
      <c r="F22" s="11">
        <v>0</v>
      </c>
      <c r="G22" s="12">
        <v>20</v>
      </c>
      <c r="H22" s="13" t="str">
        <f t="shared" si="0"/>
        <v>средний</v>
      </c>
      <c r="I22" s="14">
        <v>300</v>
      </c>
      <c r="J22" s="15">
        <v>0.7</v>
      </c>
      <c r="K22" s="18" t="s">
        <v>66</v>
      </c>
      <c r="L22" s="10" t="s">
        <v>123</v>
      </c>
      <c r="M22" s="10" t="s">
        <v>131</v>
      </c>
      <c r="N22" s="10" t="s">
        <v>132</v>
      </c>
      <c r="O22" s="10" t="s">
        <v>33</v>
      </c>
      <c r="P22" s="10" t="s">
        <v>133</v>
      </c>
    </row>
    <row r="23" spans="1:16" ht="48" customHeight="1" x14ac:dyDescent="0.25">
      <c r="A23" s="10" t="s">
        <v>134</v>
      </c>
      <c r="B23" s="10" t="s">
        <v>135</v>
      </c>
      <c r="C23" s="10" t="s">
        <v>19</v>
      </c>
      <c r="D23" s="10" t="s">
        <v>20</v>
      </c>
      <c r="E23" s="11">
        <v>0</v>
      </c>
      <c r="F23" s="11">
        <v>0</v>
      </c>
      <c r="G23" s="12">
        <v>17</v>
      </c>
      <c r="H23" s="13" t="str">
        <f t="shared" si="0"/>
        <v>слабоалкогольный</v>
      </c>
      <c r="I23" s="14">
        <v>400</v>
      </c>
      <c r="J23" s="15">
        <v>0.7</v>
      </c>
      <c r="K23" s="18" t="s">
        <v>66</v>
      </c>
      <c r="L23" s="10" t="s">
        <v>123</v>
      </c>
      <c r="M23" s="10" t="s">
        <v>131</v>
      </c>
      <c r="N23" s="10" t="s">
        <v>132</v>
      </c>
      <c r="O23" s="10" t="s">
        <v>33</v>
      </c>
      <c r="P23" s="10" t="s">
        <v>136</v>
      </c>
    </row>
    <row r="24" spans="1:16" ht="48" customHeight="1" x14ac:dyDescent="0.25">
      <c r="A24" s="10" t="s">
        <v>137</v>
      </c>
      <c r="B24" s="10" t="s">
        <v>138</v>
      </c>
      <c r="C24" s="10" t="s">
        <v>139</v>
      </c>
      <c r="D24" s="10" t="s">
        <v>51</v>
      </c>
      <c r="E24" s="11">
        <v>0</v>
      </c>
      <c r="F24" s="11">
        <v>0</v>
      </c>
      <c r="G24" s="12">
        <v>28</v>
      </c>
      <c r="H24" s="13" t="str">
        <f t="shared" si="0"/>
        <v>средний</v>
      </c>
      <c r="I24" s="14">
        <v>300</v>
      </c>
      <c r="J24" s="15">
        <v>0.7</v>
      </c>
      <c r="K24" s="20" t="s">
        <v>140</v>
      </c>
      <c r="L24" s="10" t="s">
        <v>141</v>
      </c>
      <c r="M24" s="10" t="s">
        <v>142</v>
      </c>
      <c r="N24" s="10" t="s">
        <v>143</v>
      </c>
      <c r="O24" s="10" t="s">
        <v>25</v>
      </c>
      <c r="P24" s="10" t="s">
        <v>144</v>
      </c>
    </row>
    <row r="25" spans="1:16" ht="48" customHeight="1" x14ac:dyDescent="0.25">
      <c r="A25" s="10" t="s">
        <v>145</v>
      </c>
      <c r="B25" s="10" t="s">
        <v>146</v>
      </c>
      <c r="C25" s="10" t="s">
        <v>147</v>
      </c>
      <c r="D25" s="10" t="s">
        <v>51</v>
      </c>
      <c r="E25" s="11">
        <v>0</v>
      </c>
      <c r="F25" s="11">
        <v>0</v>
      </c>
      <c r="G25" s="12">
        <v>28</v>
      </c>
      <c r="H25" s="13" t="str">
        <f t="shared" si="0"/>
        <v>средний</v>
      </c>
      <c r="I25" s="14">
        <v>280</v>
      </c>
      <c r="J25" s="15">
        <v>0.7</v>
      </c>
      <c r="K25" s="20" t="s">
        <v>140</v>
      </c>
      <c r="L25" s="10" t="s">
        <v>141</v>
      </c>
      <c r="M25" s="10" t="s">
        <v>148</v>
      </c>
      <c r="N25" s="10" t="s">
        <v>149</v>
      </c>
      <c r="O25" s="10" t="s">
        <v>33</v>
      </c>
      <c r="P25" s="10" t="s">
        <v>150</v>
      </c>
    </row>
    <row r="26" spans="1:16" ht="48" customHeight="1" x14ac:dyDescent="0.25">
      <c r="A26" s="10" t="s">
        <v>151</v>
      </c>
      <c r="B26" s="10" t="s">
        <v>152</v>
      </c>
      <c r="C26" s="10" t="s">
        <v>153</v>
      </c>
      <c r="D26" s="10" t="s">
        <v>51</v>
      </c>
      <c r="E26" s="11">
        <v>0</v>
      </c>
      <c r="F26" s="11">
        <v>0</v>
      </c>
      <c r="G26" s="12">
        <v>20</v>
      </c>
      <c r="H26" s="13" t="str">
        <f t="shared" si="0"/>
        <v>средний</v>
      </c>
      <c r="I26" s="14">
        <v>240</v>
      </c>
      <c r="J26" s="15">
        <v>0.7</v>
      </c>
      <c r="K26" s="20" t="s">
        <v>140</v>
      </c>
      <c r="L26" s="10" t="s">
        <v>154</v>
      </c>
      <c r="M26" s="10" t="s">
        <v>155</v>
      </c>
      <c r="N26" s="10" t="s">
        <v>156</v>
      </c>
      <c r="O26" s="10" t="s">
        <v>25</v>
      </c>
      <c r="P26" s="10" t="s">
        <v>157</v>
      </c>
    </row>
    <row r="27" spans="1:16" ht="48" customHeight="1" x14ac:dyDescent="0.25">
      <c r="A27" s="10" t="s">
        <v>158</v>
      </c>
      <c r="B27" s="10" t="s">
        <v>159</v>
      </c>
      <c r="C27" s="10" t="s">
        <v>160</v>
      </c>
      <c r="D27" s="10" t="s">
        <v>51</v>
      </c>
      <c r="E27" s="17">
        <v>1</v>
      </c>
      <c r="F27" s="17">
        <v>1</v>
      </c>
      <c r="G27" s="12">
        <v>30</v>
      </c>
      <c r="H27" s="13" t="str">
        <f t="shared" si="0"/>
        <v>крепкий</v>
      </c>
      <c r="I27" s="14">
        <v>220</v>
      </c>
      <c r="J27" s="15">
        <v>0.5</v>
      </c>
      <c r="K27" s="20" t="s">
        <v>140</v>
      </c>
      <c r="L27" s="10" t="s">
        <v>154</v>
      </c>
      <c r="M27" s="10" t="s">
        <v>161</v>
      </c>
      <c r="N27" s="10" t="s">
        <v>162</v>
      </c>
      <c r="O27" s="10" t="s">
        <v>33</v>
      </c>
      <c r="P27" s="10" t="s">
        <v>163</v>
      </c>
    </row>
    <row r="28" spans="1:16" ht="48" customHeight="1" x14ac:dyDescent="0.25">
      <c r="A28" s="10" t="s">
        <v>164</v>
      </c>
      <c r="B28" s="10" t="s">
        <v>165</v>
      </c>
      <c r="C28" s="10" t="s">
        <v>166</v>
      </c>
      <c r="D28" s="10" t="s">
        <v>167</v>
      </c>
      <c r="E28" s="17">
        <v>1</v>
      </c>
      <c r="F28" s="11">
        <v>0</v>
      </c>
      <c r="G28" s="12">
        <v>25</v>
      </c>
      <c r="H28" s="13" t="str">
        <f t="shared" si="0"/>
        <v>средний</v>
      </c>
      <c r="I28" s="14">
        <v>160</v>
      </c>
      <c r="J28" s="15">
        <v>0.7</v>
      </c>
      <c r="K28" s="21" t="s">
        <v>168</v>
      </c>
      <c r="L28" s="10" t="s">
        <v>169</v>
      </c>
      <c r="M28" s="10" t="s">
        <v>170</v>
      </c>
      <c r="N28" s="10" t="s">
        <v>171</v>
      </c>
      <c r="O28" s="10" t="s">
        <v>33</v>
      </c>
      <c r="P28" s="10" t="s">
        <v>172</v>
      </c>
    </row>
    <row r="29" spans="1:16" ht="48" customHeight="1" x14ac:dyDescent="0.25">
      <c r="A29" s="10" t="s">
        <v>173</v>
      </c>
      <c r="B29" s="10" t="s">
        <v>174</v>
      </c>
      <c r="C29" s="10" t="s">
        <v>121</v>
      </c>
      <c r="D29" s="10" t="s">
        <v>175</v>
      </c>
      <c r="E29" s="11">
        <v>0</v>
      </c>
      <c r="F29" s="11">
        <v>0</v>
      </c>
      <c r="G29" s="12">
        <v>16</v>
      </c>
      <c r="H29" s="13" t="str">
        <f t="shared" si="0"/>
        <v>слабоалкогольный</v>
      </c>
      <c r="I29" s="14">
        <v>393</v>
      </c>
      <c r="J29" s="15">
        <v>0.7</v>
      </c>
      <c r="K29" s="21" t="s">
        <v>168</v>
      </c>
      <c r="L29" s="10" t="s">
        <v>169</v>
      </c>
      <c r="M29" s="10" t="s">
        <v>176</v>
      </c>
      <c r="N29" s="10" t="s">
        <v>177</v>
      </c>
      <c r="O29" s="10" t="s">
        <v>42</v>
      </c>
      <c r="P29" s="10" t="s">
        <v>178</v>
      </c>
    </row>
    <row r="30" spans="1:16" ht="48" customHeight="1" x14ac:dyDescent="0.25">
      <c r="A30" s="10" t="s">
        <v>179</v>
      </c>
      <c r="B30" s="10" t="s">
        <v>180</v>
      </c>
      <c r="C30" s="10" t="s">
        <v>19</v>
      </c>
      <c r="D30" s="10" t="s">
        <v>20</v>
      </c>
      <c r="E30" s="11">
        <v>0</v>
      </c>
      <c r="F30" s="11">
        <v>0</v>
      </c>
      <c r="G30" s="12">
        <v>24</v>
      </c>
      <c r="H30" s="13" t="str">
        <f t="shared" si="0"/>
        <v>средний</v>
      </c>
      <c r="I30" s="14">
        <v>395</v>
      </c>
      <c r="J30" s="15">
        <v>0.7</v>
      </c>
      <c r="K30" s="21" t="s">
        <v>168</v>
      </c>
      <c r="L30" s="10" t="s">
        <v>181</v>
      </c>
      <c r="M30" s="10" t="s">
        <v>182</v>
      </c>
      <c r="N30" s="10" t="s">
        <v>183</v>
      </c>
      <c r="O30" s="10" t="s">
        <v>25</v>
      </c>
      <c r="P30" s="10" t="s">
        <v>184</v>
      </c>
    </row>
    <row r="31" spans="1:16" ht="48" customHeight="1" x14ac:dyDescent="0.25">
      <c r="A31" s="10" t="s">
        <v>185</v>
      </c>
      <c r="B31" s="10" t="s">
        <v>186</v>
      </c>
      <c r="C31" s="10" t="s">
        <v>19</v>
      </c>
      <c r="D31" s="10" t="s">
        <v>20</v>
      </c>
      <c r="E31" s="11">
        <v>0</v>
      </c>
      <c r="F31" s="11">
        <v>0</v>
      </c>
      <c r="G31" s="12">
        <v>24</v>
      </c>
      <c r="H31" s="13" t="str">
        <f t="shared" si="0"/>
        <v>средний</v>
      </c>
      <c r="I31" s="14">
        <v>395</v>
      </c>
      <c r="J31" s="15">
        <v>0.7</v>
      </c>
      <c r="K31" s="21" t="s">
        <v>168</v>
      </c>
      <c r="L31" s="10" t="s">
        <v>181</v>
      </c>
      <c r="M31" s="10" t="s">
        <v>187</v>
      </c>
      <c r="N31" s="10" t="s">
        <v>188</v>
      </c>
      <c r="O31" s="10" t="s">
        <v>25</v>
      </c>
      <c r="P31" s="10" t="s">
        <v>189</v>
      </c>
    </row>
    <row r="32" spans="1:16" ht="48" customHeight="1" x14ac:dyDescent="0.25">
      <c r="A32" s="10" t="s">
        <v>190</v>
      </c>
      <c r="B32" s="10" t="s">
        <v>191</v>
      </c>
      <c r="C32" s="10" t="s">
        <v>192</v>
      </c>
      <c r="D32" s="10" t="s">
        <v>193</v>
      </c>
      <c r="E32" s="11">
        <v>0</v>
      </c>
      <c r="F32" s="17">
        <v>1</v>
      </c>
      <c r="G32" s="12">
        <v>17</v>
      </c>
      <c r="H32" s="13" t="str">
        <f t="shared" si="0"/>
        <v>слабоалкогольный</v>
      </c>
      <c r="I32" s="14">
        <v>224</v>
      </c>
      <c r="J32" s="15">
        <v>1</v>
      </c>
      <c r="K32" s="19" t="s">
        <v>96</v>
      </c>
      <c r="L32" s="10" t="s">
        <v>194</v>
      </c>
      <c r="M32" s="10" t="s">
        <v>195</v>
      </c>
      <c r="N32" s="10" t="s">
        <v>196</v>
      </c>
      <c r="O32" s="10" t="s">
        <v>25</v>
      </c>
      <c r="P32" s="10" t="s">
        <v>197</v>
      </c>
    </row>
    <row r="33" spans="1:16" ht="48" customHeight="1" x14ac:dyDescent="0.25">
      <c r="A33" s="10" t="s">
        <v>198</v>
      </c>
      <c r="B33" s="10" t="s">
        <v>199</v>
      </c>
      <c r="C33" s="10" t="s">
        <v>200</v>
      </c>
      <c r="D33" s="10" t="s">
        <v>201</v>
      </c>
      <c r="E33" s="11">
        <v>0</v>
      </c>
      <c r="F33" s="17">
        <v>1</v>
      </c>
      <c r="G33" s="12">
        <v>17</v>
      </c>
      <c r="H33" s="13" t="str">
        <f t="shared" si="0"/>
        <v>слабоалкогольный</v>
      </c>
      <c r="I33" s="14">
        <v>200</v>
      </c>
      <c r="J33" s="15">
        <v>0.75</v>
      </c>
      <c r="K33" s="19" t="s">
        <v>96</v>
      </c>
      <c r="L33" s="10" t="s">
        <v>194</v>
      </c>
      <c r="M33" s="10" t="s">
        <v>202</v>
      </c>
      <c r="N33" s="10" t="s">
        <v>203</v>
      </c>
      <c r="O33" s="10" t="s">
        <v>33</v>
      </c>
      <c r="P33" s="10" t="s">
        <v>204</v>
      </c>
    </row>
    <row r="34" spans="1:16" ht="48" customHeight="1" x14ac:dyDescent="0.25">
      <c r="A34" s="10" t="s">
        <v>205</v>
      </c>
      <c r="B34" s="10" t="s">
        <v>206</v>
      </c>
      <c r="C34" s="10" t="s">
        <v>207</v>
      </c>
      <c r="D34" s="10" t="s">
        <v>20</v>
      </c>
      <c r="E34" s="11">
        <v>0</v>
      </c>
      <c r="F34" s="11">
        <v>0</v>
      </c>
      <c r="G34" s="12">
        <v>17.2</v>
      </c>
      <c r="H34" s="13" t="str">
        <f t="shared" si="0"/>
        <v>слабоалкогольный</v>
      </c>
      <c r="I34" s="14">
        <v>260</v>
      </c>
      <c r="J34" s="15">
        <v>0.7</v>
      </c>
      <c r="K34" s="19" t="s">
        <v>96</v>
      </c>
      <c r="L34" s="10" t="s">
        <v>97</v>
      </c>
      <c r="M34" s="10" t="s">
        <v>208</v>
      </c>
      <c r="N34" s="10" t="s">
        <v>209</v>
      </c>
      <c r="O34" s="10" t="s">
        <v>25</v>
      </c>
      <c r="P34" s="10" t="s">
        <v>210</v>
      </c>
    </row>
    <row r="36" spans="1:16" ht="21.75" customHeight="1" x14ac:dyDescent="0.25">
      <c r="A36" s="6" t="s">
        <v>211</v>
      </c>
      <c r="B36" s="6"/>
      <c r="C36" s="6"/>
    </row>
    <row r="37" spans="1:16" x14ac:dyDescent="0.25">
      <c r="A37" s="22" t="s">
        <v>212</v>
      </c>
      <c r="B37" s="23">
        <f>COUNTA(A5:A34)</f>
        <v>30</v>
      </c>
    </row>
    <row r="38" spans="1:16" x14ac:dyDescent="0.25">
      <c r="A38" s="22" t="s">
        <v>213</v>
      </c>
      <c r="B38" s="24">
        <f>AVERAGE(E5:E34)</f>
        <v>0.26666666666666666</v>
      </c>
    </row>
    <row r="39" spans="1:16" x14ac:dyDescent="0.25">
      <c r="A39" s="22" t="s">
        <v>214</v>
      </c>
      <c r="B39" s="24">
        <f>AVERAGE(F5:F34)</f>
        <v>0.16666666666666666</v>
      </c>
    </row>
    <row r="40" spans="1:16" x14ac:dyDescent="0.25">
      <c r="A40" s="22" t="s">
        <v>215</v>
      </c>
      <c r="B40" s="25">
        <f>AVERAGE(G5:G34)</f>
        <v>25.64</v>
      </c>
    </row>
    <row r="41" spans="1:16" x14ac:dyDescent="0.25">
      <c r="A41" s="22" t="s">
        <v>216</v>
      </c>
      <c r="B41" s="23" t="str">
        <f>MIN(G5:G34)&amp;" – "&amp;MAX(G5:G34)</f>
        <v>15 – 55</v>
      </c>
    </row>
    <row r="42" spans="1:16" x14ac:dyDescent="0.25">
      <c r="A42" s="22" t="s">
        <v>217</v>
      </c>
      <c r="B42" s="26">
        <f>AVERAGE(I5:I34)</f>
        <v>267.89999999999998</v>
      </c>
    </row>
    <row r="43" spans="1:16" x14ac:dyDescent="0.25">
      <c r="A43" s="22" t="s">
        <v>218</v>
      </c>
      <c r="B43" s="23" t="str">
        <f>COUNTIF(H5:H34,"слабоалкогольный")&amp;" / "&amp;COUNTIF(H5:H34,"средний")&amp;" / "&amp;COUNTIF(H5:H34,"крепкий")</f>
        <v>9 / 13 / 8</v>
      </c>
    </row>
  </sheetData>
  <autoFilter ref="A4:P34" xr:uid="{00000000-0009-0000-0000-000000000000}"/>
  <mergeCells count="3">
    <mergeCell ref="A1:R1"/>
    <mergeCell ref="A2:R2"/>
    <mergeCell ref="A36:C36"/>
  </mergeCells>
  <conditionalFormatting sqref="H5:H34">
    <cfRule type="expression" dxfId="4" priority="2">
      <formula>$H5="слабоалкогольный"</formula>
    </cfRule>
    <cfRule type="expression" dxfId="3" priority="3">
      <formula>$H5="средний"</formula>
    </cfRule>
    <cfRule type="expression" dxfId="2" priority="4">
      <formula>$H5="крепкий"</formula>
    </cfRule>
  </conditionalFormatting>
  <dataValidations count="1">
    <dataValidation type="list" errorTitle="Бинарное поле" error="Только 0 или 1" sqref="E5:F50" xr:uid="{00000000-0002-0000-0000-000000000000}">
      <formula1>"0,1"</formula1>
      <formula2>0</formula2>
    </dataValidation>
  </dataValidations>
  <pageMargins left="0.75" right="0.75" top="1" bottom="1" header="0.5" footer="0.5"/>
  <pageSetup orientation="landscape" horizontalDpi="300" verticalDpi="300"/>
  <headerFooter>
    <oddHeader>&amp;LЛикёры · датасет 30</oddHeader>
    <oddFooter>&amp;LДатасет ликёров · учебная сборка&amp;RСтраница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6"/>
  <sheetViews>
    <sheetView zoomScaleNormal="100" workbookViewId="0">
      <pane ySplit="4" topLeftCell="A5" activePane="bottomLeft" state="frozen"/>
      <selection pane="bottomLeft" activeCell="G12" sqref="G12"/>
    </sheetView>
  </sheetViews>
  <sheetFormatPr defaultColWidth="8.7109375" defaultRowHeight="15" x14ac:dyDescent="0.25"/>
  <cols>
    <col min="1" max="1" width="12" customWidth="1"/>
    <col min="2" max="2" width="16" customWidth="1"/>
    <col min="3" max="3" width="22" customWidth="1"/>
    <col min="4" max="4" width="24" customWidth="1"/>
    <col min="5" max="5" width="62" customWidth="1"/>
    <col min="6" max="6" width="42" customWidth="1"/>
    <col min="7" max="7" width="36" customWidth="1"/>
  </cols>
  <sheetData>
    <row r="1" spans="1:7" ht="27.75" customHeight="1" x14ac:dyDescent="0.25">
      <c r="A1" s="5" t="s">
        <v>219</v>
      </c>
      <c r="B1" s="5"/>
      <c r="C1" s="5"/>
      <c r="D1" s="5"/>
      <c r="E1" s="5"/>
      <c r="F1" s="5"/>
      <c r="G1" s="5"/>
    </row>
    <row r="2" spans="1:7" ht="36" customHeight="1" x14ac:dyDescent="0.25">
      <c r="A2" s="4" t="s">
        <v>220</v>
      </c>
      <c r="B2" s="4"/>
      <c r="C2" s="4"/>
      <c r="D2" s="4"/>
      <c r="E2" s="4"/>
      <c r="F2" s="4"/>
      <c r="G2" s="4"/>
    </row>
    <row r="4" spans="1:7" ht="21.75" customHeight="1" x14ac:dyDescent="0.25">
      <c r="A4" s="9" t="s">
        <v>221</v>
      </c>
      <c r="B4" s="9" t="s">
        <v>222</v>
      </c>
      <c r="C4" s="9" t="s">
        <v>223</v>
      </c>
      <c r="D4" s="9" t="s">
        <v>224</v>
      </c>
      <c r="E4" s="9" t="s">
        <v>225</v>
      </c>
      <c r="F4" s="9" t="s">
        <v>226</v>
      </c>
      <c r="G4" s="9" t="s">
        <v>227</v>
      </c>
    </row>
    <row r="5" spans="1:7" ht="36" customHeight="1" x14ac:dyDescent="0.25">
      <c r="A5" s="27" t="s">
        <v>24</v>
      </c>
      <c r="B5" s="28" t="s">
        <v>21</v>
      </c>
      <c r="C5" s="29" t="s">
        <v>22</v>
      </c>
      <c r="D5" s="29" t="s">
        <v>23</v>
      </c>
      <c r="E5" s="29" t="s">
        <v>228</v>
      </c>
      <c r="F5" s="29" t="s">
        <v>229</v>
      </c>
      <c r="G5" s="29" t="s">
        <v>230</v>
      </c>
    </row>
    <row r="6" spans="1:7" ht="36" customHeight="1" x14ac:dyDescent="0.25">
      <c r="A6" s="27" t="s">
        <v>32</v>
      </c>
      <c r="B6" s="28" t="s">
        <v>21</v>
      </c>
      <c r="C6" s="29" t="s">
        <v>22</v>
      </c>
      <c r="D6" s="29" t="s">
        <v>31</v>
      </c>
      <c r="E6" s="29" t="s">
        <v>231</v>
      </c>
      <c r="F6" s="29" t="s">
        <v>232</v>
      </c>
      <c r="G6" s="29" t="s">
        <v>28</v>
      </c>
    </row>
    <row r="7" spans="1:7" ht="36" customHeight="1" x14ac:dyDescent="0.25">
      <c r="A7" s="27" t="s">
        <v>41</v>
      </c>
      <c r="B7" s="28" t="s">
        <v>21</v>
      </c>
      <c r="C7" s="29" t="s">
        <v>39</v>
      </c>
      <c r="D7" s="29" t="s">
        <v>40</v>
      </c>
      <c r="E7" s="29" t="s">
        <v>233</v>
      </c>
      <c r="F7" s="29" t="s">
        <v>234</v>
      </c>
      <c r="G7" s="29" t="s">
        <v>235</v>
      </c>
    </row>
    <row r="8" spans="1:7" ht="36" customHeight="1" x14ac:dyDescent="0.25">
      <c r="A8" s="27" t="s">
        <v>53</v>
      </c>
      <c r="B8" s="28" t="s">
        <v>21</v>
      </c>
      <c r="C8" s="29" t="s">
        <v>39</v>
      </c>
      <c r="D8" s="29" t="s">
        <v>52</v>
      </c>
      <c r="E8" s="29" t="s">
        <v>236</v>
      </c>
      <c r="F8" s="29" t="s">
        <v>237</v>
      </c>
      <c r="G8" s="29" t="s">
        <v>238</v>
      </c>
    </row>
    <row r="9" spans="1:7" ht="36" customHeight="1" x14ac:dyDescent="0.25">
      <c r="A9" s="27" t="s">
        <v>69</v>
      </c>
      <c r="B9" s="30" t="s">
        <v>66</v>
      </c>
      <c r="C9" s="29" t="s">
        <v>67</v>
      </c>
      <c r="D9" s="29" t="s">
        <v>68</v>
      </c>
      <c r="E9" s="29" t="s">
        <v>239</v>
      </c>
      <c r="F9" s="29" t="s">
        <v>240</v>
      </c>
      <c r="G9" s="29" t="s">
        <v>241</v>
      </c>
    </row>
    <row r="10" spans="1:7" ht="36" customHeight="1" x14ac:dyDescent="0.25">
      <c r="A10" s="27" t="s">
        <v>83</v>
      </c>
      <c r="B10" s="30" t="s">
        <v>66</v>
      </c>
      <c r="C10" s="29" t="s">
        <v>67</v>
      </c>
      <c r="D10" s="29" t="s">
        <v>82</v>
      </c>
      <c r="E10" s="29" t="s">
        <v>242</v>
      </c>
      <c r="F10" s="29" t="s">
        <v>243</v>
      </c>
      <c r="G10" s="29" t="s">
        <v>80</v>
      </c>
    </row>
    <row r="11" spans="1:7" ht="36" customHeight="1" x14ac:dyDescent="0.25">
      <c r="A11" s="27" t="s">
        <v>90</v>
      </c>
      <c r="B11" s="30" t="s">
        <v>66</v>
      </c>
      <c r="C11" s="29" t="s">
        <v>88</v>
      </c>
      <c r="D11" s="29" t="s">
        <v>89</v>
      </c>
      <c r="E11" s="29" t="s">
        <v>244</v>
      </c>
      <c r="F11" s="29" t="s">
        <v>245</v>
      </c>
      <c r="G11" s="29" t="s">
        <v>246</v>
      </c>
    </row>
    <row r="12" spans="1:7" ht="36" customHeight="1" x14ac:dyDescent="0.25">
      <c r="A12" s="27" t="s">
        <v>104</v>
      </c>
      <c r="B12" s="30" t="s">
        <v>66</v>
      </c>
      <c r="C12" s="29" t="s">
        <v>88</v>
      </c>
      <c r="D12" s="29" t="s">
        <v>103</v>
      </c>
      <c r="E12" s="29" t="s">
        <v>247</v>
      </c>
      <c r="F12" s="29" t="s">
        <v>248</v>
      </c>
      <c r="G12" s="29" t="s">
        <v>249</v>
      </c>
    </row>
    <row r="13" spans="1:7" ht="36" customHeight="1" x14ac:dyDescent="0.25">
      <c r="A13" s="27" t="s">
        <v>110</v>
      </c>
      <c r="B13" s="30" t="s">
        <v>66</v>
      </c>
      <c r="C13" s="29" t="s">
        <v>108</v>
      </c>
      <c r="D13" s="29" t="s">
        <v>109</v>
      </c>
      <c r="E13" s="29" t="s">
        <v>250</v>
      </c>
      <c r="F13" s="29" t="s">
        <v>251</v>
      </c>
      <c r="G13" s="29" t="s">
        <v>107</v>
      </c>
    </row>
    <row r="14" spans="1:7" ht="36" customHeight="1" x14ac:dyDescent="0.25">
      <c r="A14" s="27" t="s">
        <v>117</v>
      </c>
      <c r="B14" s="30" t="s">
        <v>66</v>
      </c>
      <c r="C14" s="29" t="s">
        <v>108</v>
      </c>
      <c r="D14" s="29" t="s">
        <v>116</v>
      </c>
      <c r="E14" s="29" t="s">
        <v>252</v>
      </c>
      <c r="F14" s="29" t="s">
        <v>253</v>
      </c>
      <c r="G14" s="29" t="s">
        <v>113</v>
      </c>
    </row>
    <row r="15" spans="1:7" ht="36" customHeight="1" x14ac:dyDescent="0.25">
      <c r="A15" s="27" t="s">
        <v>125</v>
      </c>
      <c r="B15" s="30" t="s">
        <v>66</v>
      </c>
      <c r="C15" s="29" t="s">
        <v>123</v>
      </c>
      <c r="D15" s="29" t="s">
        <v>124</v>
      </c>
      <c r="E15" s="29" t="s">
        <v>254</v>
      </c>
      <c r="F15" s="29" t="s">
        <v>255</v>
      </c>
      <c r="G15" s="29" t="s">
        <v>120</v>
      </c>
    </row>
    <row r="16" spans="1:7" ht="36" customHeight="1" x14ac:dyDescent="0.25">
      <c r="A16" s="27" t="s">
        <v>132</v>
      </c>
      <c r="B16" s="30" t="s">
        <v>66</v>
      </c>
      <c r="C16" s="29" t="s">
        <v>123</v>
      </c>
      <c r="D16" s="29" t="s">
        <v>131</v>
      </c>
      <c r="E16" s="29" t="s">
        <v>256</v>
      </c>
      <c r="F16" s="29" t="s">
        <v>257</v>
      </c>
      <c r="G16" s="29" t="s">
        <v>258</v>
      </c>
    </row>
    <row r="17" spans="1:7" ht="36" customHeight="1" x14ac:dyDescent="0.25">
      <c r="A17" s="27" t="s">
        <v>143</v>
      </c>
      <c r="B17" s="31" t="s">
        <v>140</v>
      </c>
      <c r="C17" s="29" t="s">
        <v>141</v>
      </c>
      <c r="D17" s="29" t="s">
        <v>142</v>
      </c>
      <c r="E17" s="29" t="s">
        <v>259</v>
      </c>
      <c r="F17" s="29" t="s">
        <v>260</v>
      </c>
      <c r="G17" s="29" t="s">
        <v>261</v>
      </c>
    </row>
    <row r="18" spans="1:7" ht="36" customHeight="1" x14ac:dyDescent="0.25">
      <c r="A18" s="27" t="s">
        <v>149</v>
      </c>
      <c r="B18" s="31" t="s">
        <v>140</v>
      </c>
      <c r="C18" s="29" t="s">
        <v>141</v>
      </c>
      <c r="D18" s="29" t="s">
        <v>148</v>
      </c>
      <c r="E18" s="29" t="s">
        <v>262</v>
      </c>
      <c r="F18" s="29" t="s">
        <v>263</v>
      </c>
      <c r="G18" s="29" t="s">
        <v>146</v>
      </c>
    </row>
    <row r="19" spans="1:7" ht="36" customHeight="1" x14ac:dyDescent="0.25">
      <c r="A19" s="27" t="s">
        <v>156</v>
      </c>
      <c r="B19" s="31" t="s">
        <v>140</v>
      </c>
      <c r="C19" s="29" t="s">
        <v>154</v>
      </c>
      <c r="D19" s="29" t="s">
        <v>155</v>
      </c>
      <c r="E19" s="29" t="s">
        <v>264</v>
      </c>
      <c r="F19" s="29" t="s">
        <v>265</v>
      </c>
      <c r="G19" s="29" t="s">
        <v>152</v>
      </c>
    </row>
    <row r="20" spans="1:7" ht="36" customHeight="1" x14ac:dyDescent="0.25">
      <c r="A20" s="27" t="s">
        <v>162</v>
      </c>
      <c r="B20" s="31" t="s">
        <v>140</v>
      </c>
      <c r="C20" s="29" t="s">
        <v>154</v>
      </c>
      <c r="D20" s="29" t="s">
        <v>161</v>
      </c>
      <c r="E20" s="29" t="s">
        <v>266</v>
      </c>
      <c r="F20" s="29" t="s">
        <v>267</v>
      </c>
      <c r="G20" s="29" t="s">
        <v>268</v>
      </c>
    </row>
    <row r="21" spans="1:7" ht="36" customHeight="1" x14ac:dyDescent="0.25">
      <c r="A21" s="27" t="s">
        <v>171</v>
      </c>
      <c r="B21" s="32" t="s">
        <v>168</v>
      </c>
      <c r="C21" s="29" t="s">
        <v>169</v>
      </c>
      <c r="D21" s="29" t="s">
        <v>170</v>
      </c>
      <c r="E21" s="29" t="s">
        <v>269</v>
      </c>
      <c r="F21" s="29" t="s">
        <v>270</v>
      </c>
      <c r="G21" s="29" t="s">
        <v>165</v>
      </c>
    </row>
    <row r="22" spans="1:7" ht="36" customHeight="1" x14ac:dyDescent="0.25">
      <c r="A22" s="27" t="s">
        <v>177</v>
      </c>
      <c r="B22" s="32" t="s">
        <v>168</v>
      </c>
      <c r="C22" s="29" t="s">
        <v>169</v>
      </c>
      <c r="D22" s="29" t="s">
        <v>176</v>
      </c>
      <c r="E22" s="29" t="s">
        <v>271</v>
      </c>
      <c r="F22" s="29" t="s">
        <v>272</v>
      </c>
      <c r="G22" s="29" t="s">
        <v>174</v>
      </c>
    </row>
    <row r="23" spans="1:7" ht="36" customHeight="1" x14ac:dyDescent="0.25">
      <c r="A23" s="27" t="s">
        <v>183</v>
      </c>
      <c r="B23" s="32" t="s">
        <v>168</v>
      </c>
      <c r="C23" s="29" t="s">
        <v>181</v>
      </c>
      <c r="D23" s="29" t="s">
        <v>182</v>
      </c>
      <c r="E23" s="29" t="s">
        <v>273</v>
      </c>
      <c r="F23" s="29" t="s">
        <v>274</v>
      </c>
      <c r="G23" s="29" t="s">
        <v>180</v>
      </c>
    </row>
    <row r="24" spans="1:7" ht="36" customHeight="1" x14ac:dyDescent="0.25">
      <c r="A24" s="27" t="s">
        <v>188</v>
      </c>
      <c r="B24" s="32" t="s">
        <v>168</v>
      </c>
      <c r="C24" s="29" t="s">
        <v>181</v>
      </c>
      <c r="D24" s="29" t="s">
        <v>187</v>
      </c>
      <c r="E24" s="29" t="s">
        <v>275</v>
      </c>
      <c r="F24" s="29" t="s">
        <v>276</v>
      </c>
      <c r="G24" s="29" t="s">
        <v>186</v>
      </c>
    </row>
    <row r="25" spans="1:7" ht="36" customHeight="1" x14ac:dyDescent="0.25">
      <c r="A25" s="27" t="s">
        <v>196</v>
      </c>
      <c r="B25" s="33" t="s">
        <v>96</v>
      </c>
      <c r="C25" s="29" t="s">
        <v>194</v>
      </c>
      <c r="D25" s="29" t="s">
        <v>195</v>
      </c>
      <c r="E25" s="29" t="s">
        <v>277</v>
      </c>
      <c r="F25" s="29" t="s">
        <v>278</v>
      </c>
      <c r="G25" s="29" t="s">
        <v>279</v>
      </c>
    </row>
    <row r="26" spans="1:7" ht="36" customHeight="1" x14ac:dyDescent="0.25">
      <c r="A26" s="27" t="s">
        <v>203</v>
      </c>
      <c r="B26" s="33" t="s">
        <v>96</v>
      </c>
      <c r="C26" s="29" t="s">
        <v>194</v>
      </c>
      <c r="D26" s="29" t="s">
        <v>202</v>
      </c>
      <c r="E26" s="29" t="s">
        <v>280</v>
      </c>
      <c r="F26" s="29" t="s">
        <v>281</v>
      </c>
      <c r="G26" s="29" t="s">
        <v>199</v>
      </c>
    </row>
    <row r="27" spans="1:7" ht="36" customHeight="1" x14ac:dyDescent="0.25">
      <c r="A27" s="27" t="s">
        <v>209</v>
      </c>
      <c r="B27" s="33" t="s">
        <v>96</v>
      </c>
      <c r="C27" s="29" t="s">
        <v>97</v>
      </c>
      <c r="D27" s="29" t="s">
        <v>208</v>
      </c>
      <c r="E27" s="29" t="s">
        <v>282</v>
      </c>
      <c r="F27" s="29" t="s">
        <v>283</v>
      </c>
      <c r="G27" s="29" t="s">
        <v>206</v>
      </c>
    </row>
    <row r="28" spans="1:7" ht="36" customHeight="1" x14ac:dyDescent="0.25">
      <c r="A28" s="27" t="s">
        <v>99</v>
      </c>
      <c r="B28" s="33" t="s">
        <v>96</v>
      </c>
      <c r="C28" s="29" t="s">
        <v>97</v>
      </c>
      <c r="D28" s="29" t="s">
        <v>98</v>
      </c>
      <c r="E28" s="29" t="s">
        <v>284</v>
      </c>
      <c r="F28" s="29" t="s">
        <v>285</v>
      </c>
      <c r="G28" s="29" t="s">
        <v>93</v>
      </c>
    </row>
    <row r="30" spans="1:7" ht="15.75" x14ac:dyDescent="0.25">
      <c r="A30" s="6" t="s">
        <v>286</v>
      </c>
      <c r="B30" s="6"/>
      <c r="C30" s="6"/>
      <c r="D30" s="6"/>
      <c r="E30" s="6"/>
      <c r="F30" s="6"/>
      <c r="G30" s="6"/>
    </row>
    <row r="31" spans="1:7" ht="31.5" customHeight="1" x14ac:dyDescent="0.25">
      <c r="A31" s="3" t="s">
        <v>287</v>
      </c>
      <c r="B31" s="3"/>
      <c r="C31" s="3"/>
      <c r="D31" s="3"/>
      <c r="E31" s="3"/>
      <c r="F31" s="3"/>
      <c r="G31" s="3"/>
    </row>
    <row r="32" spans="1:7" ht="31.5" customHeight="1" x14ac:dyDescent="0.25">
      <c r="A32" s="3" t="s">
        <v>288</v>
      </c>
      <c r="B32" s="3"/>
      <c r="C32" s="3"/>
      <c r="D32" s="3"/>
      <c r="E32" s="3"/>
      <c r="F32" s="3"/>
      <c r="G32" s="3"/>
    </row>
    <row r="33" spans="1:7" ht="31.5" customHeight="1" x14ac:dyDescent="0.25">
      <c r="A33" s="3" t="s">
        <v>289</v>
      </c>
      <c r="B33" s="3"/>
      <c r="C33" s="3"/>
      <c r="D33" s="3"/>
      <c r="E33" s="3"/>
      <c r="F33" s="3"/>
      <c r="G33" s="3"/>
    </row>
    <row r="34" spans="1:7" ht="31.5" customHeight="1" x14ac:dyDescent="0.25">
      <c r="A34" s="3" t="s">
        <v>290</v>
      </c>
      <c r="B34" s="3"/>
      <c r="C34" s="3"/>
      <c r="D34" s="3"/>
      <c r="E34" s="3"/>
      <c r="F34" s="3"/>
      <c r="G34" s="3"/>
    </row>
    <row r="35" spans="1:7" ht="31.5" customHeight="1" x14ac:dyDescent="0.25">
      <c r="A35" s="3" t="s">
        <v>291</v>
      </c>
      <c r="B35" s="3"/>
      <c r="C35" s="3"/>
      <c r="D35" s="3"/>
      <c r="E35" s="3"/>
      <c r="F35" s="3"/>
      <c r="G35" s="3"/>
    </row>
    <row r="36" spans="1:7" ht="31.5" customHeight="1" x14ac:dyDescent="0.25">
      <c r="A36" s="3" t="s">
        <v>292</v>
      </c>
      <c r="B36" s="3"/>
      <c r="C36" s="3"/>
      <c r="D36" s="3"/>
      <c r="E36" s="3"/>
      <c r="F36" s="3"/>
      <c r="G36" s="3"/>
    </row>
  </sheetData>
  <autoFilter ref="A4:G28" xr:uid="{00000000-0009-0000-0000-000001000000}"/>
  <mergeCells count="9">
    <mergeCell ref="A33:G33"/>
    <mergeCell ref="A34:G34"/>
    <mergeCell ref="A35:G35"/>
    <mergeCell ref="A36:G36"/>
    <mergeCell ref="A1:G1"/>
    <mergeCell ref="A2:G2"/>
    <mergeCell ref="A30:G30"/>
    <mergeCell ref="A31:G31"/>
    <mergeCell ref="A32:G32"/>
  </mergeCells>
  <pageMargins left="0.75" right="0.75" top="1" bottom="1" header="0.511811023622047" footer="0.5"/>
  <pageSetup orientation="portrait" horizontalDpi="300" verticalDpi="300"/>
  <headerFooter>
    <oddFooter>&amp;LДатасет ликёров · учебная сборка&amp;RСтраница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8"/>
  <sheetViews>
    <sheetView zoomScaleNormal="100" workbookViewId="0">
      <selection sqref="A1:C1"/>
    </sheetView>
  </sheetViews>
  <sheetFormatPr defaultColWidth="8.7109375" defaultRowHeight="15" x14ac:dyDescent="0.25"/>
  <cols>
    <col min="1" max="2" width="28" customWidth="1"/>
    <col min="3" max="3" width="88" customWidth="1"/>
  </cols>
  <sheetData>
    <row r="1" spans="1:3" ht="27.75" customHeight="1" x14ac:dyDescent="0.35">
      <c r="A1" s="8" t="s">
        <v>293</v>
      </c>
      <c r="B1" s="8"/>
      <c r="C1" s="8"/>
    </row>
    <row r="2" spans="1:3" ht="39.75" customHeight="1" x14ac:dyDescent="0.25">
      <c r="A2" s="7" t="s">
        <v>294</v>
      </c>
      <c r="B2" s="7"/>
      <c r="C2" s="7"/>
    </row>
    <row r="4" spans="1:3" x14ac:dyDescent="0.25">
      <c r="A4" s="9" t="s">
        <v>295</v>
      </c>
      <c r="B4" s="9" t="s">
        <v>296</v>
      </c>
      <c r="C4" s="9" t="s">
        <v>297</v>
      </c>
    </row>
    <row r="5" spans="1:3" ht="36" customHeight="1" x14ac:dyDescent="0.25">
      <c r="A5" s="29" t="s">
        <v>1</v>
      </c>
      <c r="B5" s="29" t="s">
        <v>298</v>
      </c>
      <c r="C5" s="29" t="s">
        <v>299</v>
      </c>
    </row>
    <row r="6" spans="1:3" ht="36" customHeight="1" x14ac:dyDescent="0.25">
      <c r="A6" s="29" t="s">
        <v>2</v>
      </c>
      <c r="B6" s="29" t="s">
        <v>300</v>
      </c>
      <c r="C6" s="29" t="s">
        <v>301</v>
      </c>
    </row>
    <row r="7" spans="1:3" ht="36" customHeight="1" x14ac:dyDescent="0.25">
      <c r="A7" s="29" t="s">
        <v>3</v>
      </c>
      <c r="B7" s="29" t="s">
        <v>300</v>
      </c>
      <c r="C7" s="29" t="s">
        <v>302</v>
      </c>
    </row>
    <row r="8" spans="1:3" ht="36" customHeight="1" x14ac:dyDescent="0.25">
      <c r="A8" s="29" t="s">
        <v>4</v>
      </c>
      <c r="B8" s="29" t="s">
        <v>303</v>
      </c>
      <c r="C8" s="29" t="s">
        <v>304</v>
      </c>
    </row>
    <row r="9" spans="1:3" ht="36" customHeight="1" x14ac:dyDescent="0.25">
      <c r="A9" s="29" t="s">
        <v>5</v>
      </c>
      <c r="B9" s="29" t="s">
        <v>305</v>
      </c>
      <c r="C9" s="29" t="s">
        <v>306</v>
      </c>
    </row>
    <row r="10" spans="1:3" ht="36" customHeight="1" x14ac:dyDescent="0.25">
      <c r="A10" s="29" t="s">
        <v>6</v>
      </c>
      <c r="B10" s="29" t="s">
        <v>305</v>
      </c>
      <c r="C10" s="29" t="s">
        <v>307</v>
      </c>
    </row>
    <row r="11" spans="1:3" ht="36" customHeight="1" x14ac:dyDescent="0.25">
      <c r="A11" s="29" t="s">
        <v>7</v>
      </c>
      <c r="B11" s="29" t="s">
        <v>308</v>
      </c>
      <c r="C11" s="29" t="s">
        <v>309</v>
      </c>
    </row>
    <row r="12" spans="1:3" ht="36" customHeight="1" x14ac:dyDescent="0.25">
      <c r="A12" s="29" t="s">
        <v>8</v>
      </c>
      <c r="B12" s="29" t="s">
        <v>310</v>
      </c>
      <c r="C12" s="29" t="s">
        <v>311</v>
      </c>
    </row>
    <row r="13" spans="1:3" ht="36" customHeight="1" x14ac:dyDescent="0.25">
      <c r="A13" s="29" t="s">
        <v>9</v>
      </c>
      <c r="B13" s="29" t="s">
        <v>312</v>
      </c>
      <c r="C13" s="29" t="s">
        <v>313</v>
      </c>
    </row>
    <row r="14" spans="1:3" ht="36" customHeight="1" x14ac:dyDescent="0.25">
      <c r="A14" s="29" t="s">
        <v>10</v>
      </c>
      <c r="B14" s="29" t="s">
        <v>314</v>
      </c>
      <c r="C14" s="29" t="s">
        <v>315</v>
      </c>
    </row>
    <row r="15" spans="1:3" ht="36" customHeight="1" x14ac:dyDescent="0.25">
      <c r="A15" s="29" t="s">
        <v>316</v>
      </c>
      <c r="B15" s="29" t="s">
        <v>317</v>
      </c>
      <c r="C15" s="29" t="s">
        <v>318</v>
      </c>
    </row>
    <row r="16" spans="1:3" ht="36" customHeight="1" x14ac:dyDescent="0.25">
      <c r="A16" s="29" t="s">
        <v>14</v>
      </c>
      <c r="B16" s="29" t="s">
        <v>319</v>
      </c>
      <c r="C16" s="29" t="s">
        <v>320</v>
      </c>
    </row>
    <row r="17" spans="1:3" ht="36" customHeight="1" x14ac:dyDescent="0.25">
      <c r="A17" s="29" t="s">
        <v>15</v>
      </c>
      <c r="B17" s="29" t="s">
        <v>303</v>
      </c>
      <c r="C17" s="29" t="s">
        <v>321</v>
      </c>
    </row>
    <row r="18" spans="1:3" ht="36" customHeight="1" x14ac:dyDescent="0.25">
      <c r="A18" s="29" t="s">
        <v>16</v>
      </c>
      <c r="B18" s="29" t="s">
        <v>322</v>
      </c>
      <c r="C18" s="29" t="s">
        <v>323</v>
      </c>
    </row>
    <row r="20" spans="1:3" ht="15.75" x14ac:dyDescent="0.25">
      <c r="A20" s="6" t="s">
        <v>324</v>
      </c>
      <c r="B20" s="6"/>
      <c r="C20" s="6"/>
    </row>
    <row r="21" spans="1:3" ht="19.5" customHeight="1" x14ac:dyDescent="0.25">
      <c r="A21" s="2" t="s">
        <v>325</v>
      </c>
      <c r="B21" s="2"/>
      <c r="C21" s="2"/>
    </row>
    <row r="22" spans="1:3" ht="19.5" customHeight="1" x14ac:dyDescent="0.25">
      <c r="A22" s="2"/>
      <c r="B22" s="2"/>
      <c r="C22" s="2"/>
    </row>
    <row r="23" spans="1:3" ht="48" customHeight="1" x14ac:dyDescent="0.25">
      <c r="A23" s="2"/>
      <c r="B23" s="2"/>
      <c r="C23" s="2"/>
    </row>
    <row r="25" spans="1:3" x14ac:dyDescent="0.25">
      <c r="A25" s="34" t="s">
        <v>326</v>
      </c>
      <c r="B25" s="34" t="s">
        <v>297</v>
      </c>
      <c r="C25" s="34" t="s">
        <v>327</v>
      </c>
    </row>
    <row r="26" spans="1:3" x14ac:dyDescent="0.25">
      <c r="A26" s="35" t="s">
        <v>328</v>
      </c>
      <c r="B26" s="29" t="s">
        <v>329</v>
      </c>
      <c r="C26" s="29" t="s">
        <v>330</v>
      </c>
    </row>
    <row r="27" spans="1:3" x14ac:dyDescent="0.25">
      <c r="A27" s="36" t="s">
        <v>331</v>
      </c>
      <c r="B27" s="29" t="s">
        <v>332</v>
      </c>
      <c r="C27" s="29" t="s">
        <v>333</v>
      </c>
    </row>
    <row r="28" spans="1:3" x14ac:dyDescent="0.25">
      <c r="A28" s="37" t="s">
        <v>334</v>
      </c>
      <c r="B28" s="29" t="s">
        <v>335</v>
      </c>
      <c r="C28" s="29" t="s">
        <v>336</v>
      </c>
    </row>
  </sheetData>
  <mergeCells count="4">
    <mergeCell ref="A1:C1"/>
    <mergeCell ref="A2:C2"/>
    <mergeCell ref="A20:C20"/>
    <mergeCell ref="A21:C23"/>
  </mergeCells>
  <pageMargins left="0.75" right="0.75" top="1" bottom="1" header="0.511811023622047" footer="0.5"/>
  <pageSetup orientation="portrait" horizontalDpi="300" verticalDpi="300"/>
  <headerFooter>
    <oddFooter>&amp;LДатасет ликёров · учебная сборка&amp;RСтраница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1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16" customWidth="1"/>
    <col min="3" max="3" width="22" customWidth="1"/>
    <col min="4" max="4" width="24" customWidth="1"/>
    <col min="5" max="5" width="16" customWidth="1"/>
    <col min="6" max="6" width="18" customWidth="1"/>
  </cols>
  <sheetData>
    <row r="1" spans="1:6" ht="25.5" customHeight="1" x14ac:dyDescent="0.35">
      <c r="A1" s="8" t="s">
        <v>337</v>
      </c>
      <c r="B1" s="8"/>
      <c r="C1" s="8"/>
      <c r="D1" s="8"/>
      <c r="E1" s="8"/>
      <c r="F1" s="8"/>
    </row>
    <row r="2" spans="1:6" x14ac:dyDescent="0.25">
      <c r="A2" s="1" t="s">
        <v>338</v>
      </c>
      <c r="B2" s="1"/>
      <c r="C2" s="1"/>
      <c r="D2" s="1"/>
      <c r="E2" s="1"/>
      <c r="F2" s="1"/>
    </row>
    <row r="4" spans="1:6" x14ac:dyDescent="0.25">
      <c r="A4" s="34" t="s">
        <v>221</v>
      </c>
      <c r="B4" s="34" t="s">
        <v>339</v>
      </c>
      <c r="C4" s="34" t="s">
        <v>340</v>
      </c>
      <c r="D4" s="34" t="s">
        <v>341</v>
      </c>
      <c r="E4" s="34" t="s">
        <v>342</v>
      </c>
      <c r="F4" s="34" t="s">
        <v>343</v>
      </c>
    </row>
    <row r="5" spans="1:6" ht="19.5" customHeight="1" x14ac:dyDescent="0.25">
      <c r="A5" s="27" t="s">
        <v>24</v>
      </c>
      <c r="B5" s="28" t="s">
        <v>21</v>
      </c>
      <c r="C5" s="29" t="s">
        <v>22</v>
      </c>
      <c r="D5" s="29" t="s">
        <v>23</v>
      </c>
      <c r="E5" s="29">
        <f>COUNTIF(Датасет!N$5:N$34,A5)</f>
        <v>1</v>
      </c>
      <c r="F5" s="29" t="str">
        <f t="shared" ref="F5:F28" si="0">IF(E5=0,"нет примера",IF(E5=1,"закрыт","закрыт, запас"))</f>
        <v>закрыт</v>
      </c>
    </row>
    <row r="6" spans="1:6" ht="19.5" customHeight="1" x14ac:dyDescent="0.25">
      <c r="A6" s="27" t="s">
        <v>32</v>
      </c>
      <c r="B6" s="28" t="s">
        <v>21</v>
      </c>
      <c r="C6" s="29" t="s">
        <v>22</v>
      </c>
      <c r="D6" s="29" t="s">
        <v>31</v>
      </c>
      <c r="E6" s="29">
        <f>COUNTIF(Датасет!N$5:N$34,A6)</f>
        <v>1</v>
      </c>
      <c r="F6" s="29" t="str">
        <f t="shared" si="0"/>
        <v>закрыт</v>
      </c>
    </row>
    <row r="7" spans="1:6" ht="19.5" customHeight="1" x14ac:dyDescent="0.25">
      <c r="A7" s="27" t="s">
        <v>41</v>
      </c>
      <c r="B7" s="28" t="s">
        <v>21</v>
      </c>
      <c r="C7" s="29" t="s">
        <v>39</v>
      </c>
      <c r="D7" s="29" t="s">
        <v>40</v>
      </c>
      <c r="E7" s="29">
        <f>COUNTIF(Датасет!N$5:N$34,A7)</f>
        <v>2</v>
      </c>
      <c r="F7" s="29" t="str">
        <f t="shared" si="0"/>
        <v>закрыт, запас</v>
      </c>
    </row>
    <row r="8" spans="1:6" ht="19.5" customHeight="1" x14ac:dyDescent="0.25">
      <c r="A8" s="27" t="s">
        <v>53</v>
      </c>
      <c r="B8" s="28" t="s">
        <v>21</v>
      </c>
      <c r="C8" s="29" t="s">
        <v>39</v>
      </c>
      <c r="D8" s="29" t="s">
        <v>52</v>
      </c>
      <c r="E8" s="29">
        <f>COUNTIF(Датасет!N$5:N$34,A8)</f>
        <v>3</v>
      </c>
      <c r="F8" s="29" t="str">
        <f t="shared" si="0"/>
        <v>закрыт, запас</v>
      </c>
    </row>
    <row r="9" spans="1:6" ht="19.5" customHeight="1" x14ac:dyDescent="0.25">
      <c r="A9" s="27" t="s">
        <v>69</v>
      </c>
      <c r="B9" s="30" t="s">
        <v>66</v>
      </c>
      <c r="C9" s="29" t="s">
        <v>67</v>
      </c>
      <c r="D9" s="29" t="s">
        <v>68</v>
      </c>
      <c r="E9" s="29">
        <f>COUNTIF(Датасет!N$5:N$34,A9)</f>
        <v>3</v>
      </c>
      <c r="F9" s="29" t="str">
        <f t="shared" si="0"/>
        <v>закрыт, запас</v>
      </c>
    </row>
    <row r="10" spans="1:6" ht="19.5" customHeight="1" x14ac:dyDescent="0.25">
      <c r="A10" s="27" t="s">
        <v>83</v>
      </c>
      <c r="B10" s="30" t="s">
        <v>66</v>
      </c>
      <c r="C10" s="29" t="s">
        <v>67</v>
      </c>
      <c r="D10" s="29" t="s">
        <v>82</v>
      </c>
      <c r="E10" s="29">
        <f>COUNTIF(Датасет!N$5:N$34,A10)</f>
        <v>1</v>
      </c>
      <c r="F10" s="29" t="str">
        <f t="shared" si="0"/>
        <v>закрыт</v>
      </c>
    </row>
    <row r="11" spans="1:6" ht="19.5" customHeight="1" x14ac:dyDescent="0.25">
      <c r="A11" s="27" t="s">
        <v>90</v>
      </c>
      <c r="B11" s="30" t="s">
        <v>66</v>
      </c>
      <c r="C11" s="29" t="s">
        <v>88</v>
      </c>
      <c r="D11" s="29" t="s">
        <v>89</v>
      </c>
      <c r="E11" s="29">
        <f>COUNTIF(Датасет!N$5:N$34,A11)</f>
        <v>1</v>
      </c>
      <c r="F11" s="29" t="str">
        <f t="shared" si="0"/>
        <v>закрыт</v>
      </c>
    </row>
    <row r="12" spans="1:6" ht="19.5" customHeight="1" x14ac:dyDescent="0.25">
      <c r="A12" s="27" t="s">
        <v>104</v>
      </c>
      <c r="B12" s="30" t="s">
        <v>66</v>
      </c>
      <c r="C12" s="29" t="s">
        <v>88</v>
      </c>
      <c r="D12" s="29" t="s">
        <v>103</v>
      </c>
      <c r="E12" s="29">
        <f>COUNTIF(Датасет!N$5:N$34,A12)</f>
        <v>1</v>
      </c>
      <c r="F12" s="29" t="str">
        <f t="shared" si="0"/>
        <v>закрыт</v>
      </c>
    </row>
    <row r="13" spans="1:6" ht="19.5" customHeight="1" x14ac:dyDescent="0.25">
      <c r="A13" s="27" t="s">
        <v>110</v>
      </c>
      <c r="B13" s="30" t="s">
        <v>66</v>
      </c>
      <c r="C13" s="29" t="s">
        <v>108</v>
      </c>
      <c r="D13" s="29" t="s">
        <v>109</v>
      </c>
      <c r="E13" s="29">
        <f>COUNTIF(Датасет!N$5:N$34,A13)</f>
        <v>1</v>
      </c>
      <c r="F13" s="29" t="str">
        <f t="shared" si="0"/>
        <v>закрыт</v>
      </c>
    </row>
    <row r="14" spans="1:6" ht="19.5" customHeight="1" x14ac:dyDescent="0.25">
      <c r="A14" s="27" t="s">
        <v>117</v>
      </c>
      <c r="B14" s="30" t="s">
        <v>66</v>
      </c>
      <c r="C14" s="29" t="s">
        <v>108</v>
      </c>
      <c r="D14" s="29" t="s">
        <v>116</v>
      </c>
      <c r="E14" s="29">
        <f>COUNTIF(Датасет!N$5:N$34,A14)</f>
        <v>1</v>
      </c>
      <c r="F14" s="29" t="str">
        <f t="shared" si="0"/>
        <v>закрыт</v>
      </c>
    </row>
    <row r="15" spans="1:6" ht="19.5" customHeight="1" x14ac:dyDescent="0.25">
      <c r="A15" s="27" t="s">
        <v>125</v>
      </c>
      <c r="B15" s="30" t="s">
        <v>66</v>
      </c>
      <c r="C15" s="29" t="s">
        <v>123</v>
      </c>
      <c r="D15" s="29" t="s">
        <v>124</v>
      </c>
      <c r="E15" s="29">
        <f>COUNTIF(Датасет!N$5:N$34,A15)</f>
        <v>1</v>
      </c>
      <c r="F15" s="29" t="str">
        <f t="shared" si="0"/>
        <v>закрыт</v>
      </c>
    </row>
    <row r="16" spans="1:6" ht="19.5" customHeight="1" x14ac:dyDescent="0.25">
      <c r="A16" s="27" t="s">
        <v>132</v>
      </c>
      <c r="B16" s="30" t="s">
        <v>66</v>
      </c>
      <c r="C16" s="29" t="s">
        <v>123</v>
      </c>
      <c r="D16" s="29" t="s">
        <v>131</v>
      </c>
      <c r="E16" s="29">
        <f>COUNTIF(Датасет!N$5:N$34,A16)</f>
        <v>2</v>
      </c>
      <c r="F16" s="29" t="str">
        <f t="shared" si="0"/>
        <v>закрыт, запас</v>
      </c>
    </row>
    <row r="17" spans="1:6" ht="19.5" customHeight="1" x14ac:dyDescent="0.25">
      <c r="A17" s="27" t="s">
        <v>143</v>
      </c>
      <c r="B17" s="31" t="s">
        <v>140</v>
      </c>
      <c r="C17" s="29" t="s">
        <v>141</v>
      </c>
      <c r="D17" s="29" t="s">
        <v>142</v>
      </c>
      <c r="E17" s="29">
        <f>COUNTIF(Датасет!N$5:N$34,A17)</f>
        <v>1</v>
      </c>
      <c r="F17" s="29" t="str">
        <f t="shared" si="0"/>
        <v>закрыт</v>
      </c>
    </row>
    <row r="18" spans="1:6" ht="19.5" customHeight="1" x14ac:dyDescent="0.25">
      <c r="A18" s="27" t="s">
        <v>149</v>
      </c>
      <c r="B18" s="31" t="s">
        <v>140</v>
      </c>
      <c r="C18" s="29" t="s">
        <v>141</v>
      </c>
      <c r="D18" s="29" t="s">
        <v>148</v>
      </c>
      <c r="E18" s="29">
        <f>COUNTIF(Датасет!N$5:N$34,A18)</f>
        <v>1</v>
      </c>
      <c r="F18" s="29" t="str">
        <f t="shared" si="0"/>
        <v>закрыт</v>
      </c>
    </row>
    <row r="19" spans="1:6" ht="19.5" customHeight="1" x14ac:dyDescent="0.25">
      <c r="A19" s="27" t="s">
        <v>156</v>
      </c>
      <c r="B19" s="31" t="s">
        <v>140</v>
      </c>
      <c r="C19" s="29" t="s">
        <v>154</v>
      </c>
      <c r="D19" s="29" t="s">
        <v>155</v>
      </c>
      <c r="E19" s="29">
        <f>COUNTIF(Датасет!N$5:N$34,A19)</f>
        <v>1</v>
      </c>
      <c r="F19" s="29" t="str">
        <f t="shared" si="0"/>
        <v>закрыт</v>
      </c>
    </row>
    <row r="20" spans="1:6" ht="19.5" customHeight="1" x14ac:dyDescent="0.25">
      <c r="A20" s="27" t="s">
        <v>162</v>
      </c>
      <c r="B20" s="31" t="s">
        <v>140</v>
      </c>
      <c r="C20" s="29" t="s">
        <v>154</v>
      </c>
      <c r="D20" s="29" t="s">
        <v>161</v>
      </c>
      <c r="E20" s="29">
        <f>COUNTIF(Датасет!N$5:N$34,A20)</f>
        <v>1</v>
      </c>
      <c r="F20" s="29" t="str">
        <f t="shared" si="0"/>
        <v>закрыт</v>
      </c>
    </row>
    <row r="21" spans="1:6" ht="19.5" customHeight="1" x14ac:dyDescent="0.25">
      <c r="A21" s="27" t="s">
        <v>171</v>
      </c>
      <c r="B21" s="32" t="s">
        <v>168</v>
      </c>
      <c r="C21" s="29" t="s">
        <v>169</v>
      </c>
      <c r="D21" s="29" t="s">
        <v>170</v>
      </c>
      <c r="E21" s="29">
        <f>COUNTIF(Датасет!N$5:N$34,A21)</f>
        <v>1</v>
      </c>
      <c r="F21" s="29" t="str">
        <f t="shared" si="0"/>
        <v>закрыт</v>
      </c>
    </row>
    <row r="22" spans="1:6" ht="19.5" customHeight="1" x14ac:dyDescent="0.25">
      <c r="A22" s="27" t="s">
        <v>177</v>
      </c>
      <c r="B22" s="32" t="s">
        <v>168</v>
      </c>
      <c r="C22" s="29" t="s">
        <v>169</v>
      </c>
      <c r="D22" s="29" t="s">
        <v>176</v>
      </c>
      <c r="E22" s="29">
        <f>COUNTIF(Датасет!N$5:N$34,A22)</f>
        <v>1</v>
      </c>
      <c r="F22" s="29" t="str">
        <f t="shared" si="0"/>
        <v>закрыт</v>
      </c>
    </row>
    <row r="23" spans="1:6" ht="19.5" customHeight="1" x14ac:dyDescent="0.25">
      <c r="A23" s="27" t="s">
        <v>183</v>
      </c>
      <c r="B23" s="32" t="s">
        <v>168</v>
      </c>
      <c r="C23" s="29" t="s">
        <v>181</v>
      </c>
      <c r="D23" s="29" t="s">
        <v>182</v>
      </c>
      <c r="E23" s="29">
        <f>COUNTIF(Датасет!N$5:N$34,A23)</f>
        <v>1</v>
      </c>
      <c r="F23" s="29" t="str">
        <f t="shared" si="0"/>
        <v>закрыт</v>
      </c>
    </row>
    <row r="24" spans="1:6" ht="19.5" customHeight="1" x14ac:dyDescent="0.25">
      <c r="A24" s="27" t="s">
        <v>188</v>
      </c>
      <c r="B24" s="32" t="s">
        <v>168</v>
      </c>
      <c r="C24" s="29" t="s">
        <v>181</v>
      </c>
      <c r="D24" s="29" t="s">
        <v>187</v>
      </c>
      <c r="E24" s="29">
        <f>COUNTIF(Датасет!N$5:N$34,A24)</f>
        <v>1</v>
      </c>
      <c r="F24" s="29" t="str">
        <f t="shared" si="0"/>
        <v>закрыт</v>
      </c>
    </row>
    <row r="25" spans="1:6" ht="19.5" customHeight="1" x14ac:dyDescent="0.25">
      <c r="A25" s="27" t="s">
        <v>196</v>
      </c>
      <c r="B25" s="33" t="s">
        <v>96</v>
      </c>
      <c r="C25" s="29" t="s">
        <v>194</v>
      </c>
      <c r="D25" s="29" t="s">
        <v>195</v>
      </c>
      <c r="E25" s="29">
        <f>COUNTIF(Датасет!N$5:N$34,A25)</f>
        <v>1</v>
      </c>
      <c r="F25" s="29" t="str">
        <f t="shared" si="0"/>
        <v>закрыт</v>
      </c>
    </row>
    <row r="26" spans="1:6" ht="19.5" customHeight="1" x14ac:dyDescent="0.25">
      <c r="A26" s="27" t="s">
        <v>203</v>
      </c>
      <c r="B26" s="33" t="s">
        <v>96</v>
      </c>
      <c r="C26" s="29" t="s">
        <v>194</v>
      </c>
      <c r="D26" s="29" t="s">
        <v>202</v>
      </c>
      <c r="E26" s="29">
        <f>COUNTIF(Датасет!N$5:N$34,A26)</f>
        <v>1</v>
      </c>
      <c r="F26" s="29" t="str">
        <f t="shared" si="0"/>
        <v>закрыт</v>
      </c>
    </row>
    <row r="27" spans="1:6" ht="19.5" customHeight="1" x14ac:dyDescent="0.25">
      <c r="A27" s="27" t="s">
        <v>209</v>
      </c>
      <c r="B27" s="33" t="s">
        <v>96</v>
      </c>
      <c r="C27" s="29" t="s">
        <v>97</v>
      </c>
      <c r="D27" s="29" t="s">
        <v>208</v>
      </c>
      <c r="E27" s="29">
        <f>COUNTIF(Датасет!N$5:N$34,A27)</f>
        <v>1</v>
      </c>
      <c r="F27" s="29" t="str">
        <f t="shared" si="0"/>
        <v>закрыт</v>
      </c>
    </row>
    <row r="28" spans="1:6" ht="19.5" customHeight="1" x14ac:dyDescent="0.25">
      <c r="A28" s="27" t="s">
        <v>99</v>
      </c>
      <c r="B28" s="33" t="s">
        <v>96</v>
      </c>
      <c r="C28" s="29" t="s">
        <v>97</v>
      </c>
      <c r="D28" s="29" t="s">
        <v>98</v>
      </c>
      <c r="E28" s="29">
        <f>COUNTIF(Датасет!N$5:N$34,A28)</f>
        <v>1</v>
      </c>
      <c r="F28" s="29" t="str">
        <f t="shared" si="0"/>
        <v>закрыт</v>
      </c>
    </row>
    <row r="30" spans="1:6" x14ac:dyDescent="0.25">
      <c r="A30" s="22" t="s">
        <v>344</v>
      </c>
      <c r="B30" s="23">
        <f>COUNTA(A5:A28)</f>
        <v>24</v>
      </c>
      <c r="D30" s="22" t="s">
        <v>345</v>
      </c>
      <c r="E30" s="23">
        <f>SUMPRODUCT(1/COUNTIF(Датасет!D5:D34,Датасет!D5:D34))</f>
        <v>11.999999999999998</v>
      </c>
    </row>
    <row r="31" spans="1:6" x14ac:dyDescent="0.25">
      <c r="A31" s="22" t="s">
        <v>346</v>
      </c>
      <c r="B31" s="23">
        <f>COUNTIF(F5:F28,"нет примера")</f>
        <v>0</v>
      </c>
    </row>
    <row r="32" spans="1:6" x14ac:dyDescent="0.25">
      <c r="A32" s="22" t="s">
        <v>347</v>
      </c>
      <c r="B32" s="23">
        <f>COUNTA(Датасет!A5:A34)</f>
        <v>30</v>
      </c>
    </row>
    <row r="33" spans="1:2" x14ac:dyDescent="0.25">
      <c r="A33" s="22" t="s">
        <v>348</v>
      </c>
      <c r="B33" s="23">
        <f>SUMPRODUCT(1/COUNTIF(B5:B28,B5:B28))</f>
        <v>5</v>
      </c>
    </row>
    <row r="36" spans="1:2" x14ac:dyDescent="0.25">
      <c r="A36" s="9" t="s">
        <v>349</v>
      </c>
      <c r="B36" s="9" t="s">
        <v>350</v>
      </c>
    </row>
    <row r="37" spans="1:2" x14ac:dyDescent="0.25">
      <c r="A37" s="38" t="s">
        <v>21</v>
      </c>
      <c r="B37" s="38">
        <f>COUNTIF(Датасет!K$5:K$34,A37)</f>
        <v>7</v>
      </c>
    </row>
    <row r="38" spans="1:2" x14ac:dyDescent="0.25">
      <c r="A38" s="38" t="s">
        <v>66</v>
      </c>
      <c r="B38" s="38">
        <f>COUNTIF(Датасет!K$5:K$34,A38)</f>
        <v>11</v>
      </c>
    </row>
    <row r="39" spans="1:2" x14ac:dyDescent="0.25">
      <c r="A39" s="38" t="s">
        <v>140</v>
      </c>
      <c r="B39" s="38">
        <f>COUNTIF(Датасет!K$5:K$34,A39)</f>
        <v>4</v>
      </c>
    </row>
    <row r="40" spans="1:2" x14ac:dyDescent="0.25">
      <c r="A40" s="38" t="s">
        <v>168</v>
      </c>
      <c r="B40" s="38">
        <f>COUNTIF(Датасет!K$5:K$34,A40)</f>
        <v>4</v>
      </c>
    </row>
    <row r="41" spans="1:2" x14ac:dyDescent="0.25">
      <c r="A41" s="38" t="s">
        <v>96</v>
      </c>
      <c r="B41" s="38">
        <f>COUNTIF(Датасет!K$5:K$34,A41)</f>
        <v>4</v>
      </c>
    </row>
  </sheetData>
  <mergeCells count="2">
    <mergeCell ref="A1:F1"/>
    <mergeCell ref="A2:F2"/>
  </mergeCells>
  <conditionalFormatting sqref="F5:F28">
    <cfRule type="expression" dxfId="1" priority="2">
      <formula>$F5="нет примера"</formula>
    </cfRule>
    <cfRule type="expression" dxfId="0" priority="3">
      <formula>LEFT($F5,6)="закрыт"</formula>
    </cfRule>
  </conditionalFormatting>
  <pageMargins left="0.75" right="0.75" top="1" bottom="1" header="0.511811023622047" footer="0.5"/>
  <pageSetup orientation="portrait" horizontalDpi="300" verticalDpi="300"/>
  <headerFooter>
    <oddFooter>&amp;LДатасет ликёров · учебная сборка&amp;RСтраница &amp;P из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0"/>
  <sheetViews>
    <sheetView zoomScaleNormal="100" workbookViewId="0">
      <selection sqref="A1:B1"/>
    </sheetView>
  </sheetViews>
  <sheetFormatPr defaultColWidth="8.7109375" defaultRowHeight="15" x14ac:dyDescent="0.25"/>
  <cols>
    <col min="1" max="1" width="24" customWidth="1"/>
    <col min="2" max="2" width="110" customWidth="1"/>
  </cols>
  <sheetData>
    <row r="1" spans="1:2" ht="27.75" customHeight="1" x14ac:dyDescent="0.35">
      <c r="A1" s="8" t="s">
        <v>351</v>
      </c>
      <c r="B1" s="8"/>
    </row>
    <row r="3" spans="1:2" x14ac:dyDescent="0.25">
      <c r="A3" s="9" t="s">
        <v>352</v>
      </c>
      <c r="B3" s="9" t="s">
        <v>353</v>
      </c>
    </row>
    <row r="4" spans="1:2" ht="63.75" customHeight="1" x14ac:dyDescent="0.25">
      <c r="A4" s="39" t="s">
        <v>354</v>
      </c>
      <c r="B4" s="40" t="s">
        <v>355</v>
      </c>
    </row>
    <row r="5" spans="1:2" ht="63.75" customHeight="1" x14ac:dyDescent="0.25">
      <c r="A5" s="39" t="s">
        <v>356</v>
      </c>
      <c r="B5" s="40" t="s">
        <v>357</v>
      </c>
    </row>
    <row r="6" spans="1:2" ht="63.75" customHeight="1" x14ac:dyDescent="0.25">
      <c r="A6" s="39" t="s">
        <v>358</v>
      </c>
      <c r="B6" s="40" t="s">
        <v>359</v>
      </c>
    </row>
    <row r="7" spans="1:2" ht="63.75" customHeight="1" x14ac:dyDescent="0.25">
      <c r="A7" s="39" t="s">
        <v>360</v>
      </c>
      <c r="B7" s="40" t="s">
        <v>361</v>
      </c>
    </row>
    <row r="8" spans="1:2" ht="63.75" customHeight="1" x14ac:dyDescent="0.25">
      <c r="A8" s="39" t="s">
        <v>362</v>
      </c>
      <c r="B8" s="40" t="s">
        <v>363</v>
      </c>
    </row>
    <row r="9" spans="1:2" ht="63.75" customHeight="1" x14ac:dyDescent="0.25">
      <c r="A9" s="39" t="s">
        <v>364</v>
      </c>
      <c r="B9" s="40" t="s">
        <v>365</v>
      </c>
    </row>
    <row r="10" spans="1:2" ht="63.75" customHeight="1" x14ac:dyDescent="0.25">
      <c r="A10" s="39" t="s">
        <v>366</v>
      </c>
      <c r="B10" s="40" t="s">
        <v>367</v>
      </c>
    </row>
  </sheetData>
  <mergeCells count="1">
    <mergeCell ref="A1:B1"/>
  </mergeCells>
  <pageMargins left="0.75" right="0.75" top="1" bottom="1" header="0.511811023622047" footer="0.5"/>
  <pageSetup orientation="portrait" horizontalDpi="300" verticalDpi="300"/>
  <headerFooter>
    <oddFooter>&amp;LДатасет ликёров · учебная сборка&amp;RСтраница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Датасет</vt:lpstr>
      <vt:lpstr>Таксономия</vt:lpstr>
      <vt:lpstr>Словарь полей</vt:lpstr>
      <vt:lpstr>Покрытие</vt:lpstr>
      <vt:lpstr>Как пользоваться</vt:lpstr>
      <vt:lpstr>Датасет!Заголовки_для_печати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Smirnov</cp:lastModifiedBy>
  <cp:revision>1</cp:revision>
  <dcterms:created xsi:type="dcterms:W3CDTF">2026-09-21T11:21:23Z</dcterms:created>
  <dcterms:modified xsi:type="dcterms:W3CDTF">2026-09-21T16:09:12Z</dcterms:modified>
  <dc:language>en-US</dc:language>
</cp:coreProperties>
</file>